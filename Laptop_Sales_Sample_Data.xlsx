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hidePivotFieldList="1"/>
  <mc:AlternateContent xmlns:mc="http://schemas.openxmlformats.org/markup-compatibility/2006">
    <mc:Choice Requires="x15">
      <x15ac:absPath xmlns:x15ac="http://schemas.microsoft.com/office/spreadsheetml/2010/11/ac" url="C:\Users\91913\Desktop\"/>
    </mc:Choice>
  </mc:AlternateContent>
  <xr:revisionPtr revIDLastSave="0" documentId="13_ncr:1_{2F5822B6-5D0B-4803-8097-C7C5993074B6}" xr6:coauthVersionLast="47" xr6:coauthVersionMax="47" xr10:uidLastSave="{00000000-0000-0000-0000-000000000000}"/>
  <bookViews>
    <workbookView xWindow="-108" yWindow="-108" windowWidth="23256" windowHeight="12576" xr2:uid="{00000000-000D-0000-FFFF-FFFF00000000}"/>
  </bookViews>
  <sheets>
    <sheet name="final-dash" sheetId="3" r:id="rId1"/>
    <sheet name="kpi" sheetId="2" r:id="rId2"/>
    <sheet name="Sheet1" sheetId="1" r:id="rId3"/>
  </sheets>
  <definedNames>
    <definedName name="Slicer_month">#N/A</definedName>
    <definedName name="Slicer_Region">#N/A</definedName>
  </definedNames>
  <calcPr calcId="191029"/>
  <pivotCaches>
    <pivotCache cacheId="2" r:id="rId4"/>
    <pivotCache cacheId="3" r:id="rId5"/>
    <pivotCache cacheId="4"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C2" i="1" l="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alcChain>
</file>

<file path=xl/sharedStrings.xml><?xml version="1.0" encoding="utf-8"?>
<sst xmlns="http://schemas.openxmlformats.org/spreadsheetml/2006/main" count="1295" uniqueCount="258">
  <si>
    <t>Invoice No</t>
  </si>
  <si>
    <t>Date</t>
  </si>
  <si>
    <t>Region</t>
  </si>
  <si>
    <t>Brand</t>
  </si>
  <si>
    <t>Model</t>
  </si>
  <si>
    <t>Quantity Sold</t>
  </si>
  <si>
    <t>Unit Price</t>
  </si>
  <si>
    <t>Revenue</t>
  </si>
  <si>
    <t>Sales Rep</t>
  </si>
  <si>
    <t>Customer Type</t>
  </si>
  <si>
    <t>INV0001</t>
  </si>
  <si>
    <t>INV0002</t>
  </si>
  <si>
    <t>INV0003</t>
  </si>
  <si>
    <t>INV0004</t>
  </si>
  <si>
    <t>INV0005</t>
  </si>
  <si>
    <t>INV0006</t>
  </si>
  <si>
    <t>INV0007</t>
  </si>
  <si>
    <t>INV0008</t>
  </si>
  <si>
    <t>INV0009</t>
  </si>
  <si>
    <t>INV0010</t>
  </si>
  <si>
    <t>INV0011</t>
  </si>
  <si>
    <t>INV0012</t>
  </si>
  <si>
    <t>INV0013</t>
  </si>
  <si>
    <t>INV0014</t>
  </si>
  <si>
    <t>INV0015</t>
  </si>
  <si>
    <t>INV0016</t>
  </si>
  <si>
    <t>INV0017</t>
  </si>
  <si>
    <t>INV0018</t>
  </si>
  <si>
    <t>INV0019</t>
  </si>
  <si>
    <t>INV0020</t>
  </si>
  <si>
    <t>INV0021</t>
  </si>
  <si>
    <t>INV0022</t>
  </si>
  <si>
    <t>INV0023</t>
  </si>
  <si>
    <t>INV0024</t>
  </si>
  <si>
    <t>INV0025</t>
  </si>
  <si>
    <t>INV0026</t>
  </si>
  <si>
    <t>INV0027</t>
  </si>
  <si>
    <t>INV0028</t>
  </si>
  <si>
    <t>INV0029</t>
  </si>
  <si>
    <t>INV0030</t>
  </si>
  <si>
    <t>INV0031</t>
  </si>
  <si>
    <t>INV0032</t>
  </si>
  <si>
    <t>INV0033</t>
  </si>
  <si>
    <t>INV0034</t>
  </si>
  <si>
    <t>INV0035</t>
  </si>
  <si>
    <t>INV0036</t>
  </si>
  <si>
    <t>INV0037</t>
  </si>
  <si>
    <t>INV0038</t>
  </si>
  <si>
    <t>INV0039</t>
  </si>
  <si>
    <t>INV0040</t>
  </si>
  <si>
    <t>INV0041</t>
  </si>
  <si>
    <t>INV0042</t>
  </si>
  <si>
    <t>INV0043</t>
  </si>
  <si>
    <t>INV0044</t>
  </si>
  <si>
    <t>INV0045</t>
  </si>
  <si>
    <t>INV0046</t>
  </si>
  <si>
    <t>INV0047</t>
  </si>
  <si>
    <t>INV0048</t>
  </si>
  <si>
    <t>INV0049</t>
  </si>
  <si>
    <t>INV0050</t>
  </si>
  <si>
    <t>INV0051</t>
  </si>
  <si>
    <t>INV0052</t>
  </si>
  <si>
    <t>INV0053</t>
  </si>
  <si>
    <t>INV0054</t>
  </si>
  <si>
    <t>INV0055</t>
  </si>
  <si>
    <t>INV0056</t>
  </si>
  <si>
    <t>INV0057</t>
  </si>
  <si>
    <t>INV0058</t>
  </si>
  <si>
    <t>INV0059</t>
  </si>
  <si>
    <t>INV0060</t>
  </si>
  <si>
    <t>INV0061</t>
  </si>
  <si>
    <t>INV0062</t>
  </si>
  <si>
    <t>INV0063</t>
  </si>
  <si>
    <t>INV0064</t>
  </si>
  <si>
    <t>INV0065</t>
  </si>
  <si>
    <t>INV0066</t>
  </si>
  <si>
    <t>INV0067</t>
  </si>
  <si>
    <t>INV0068</t>
  </si>
  <si>
    <t>INV0069</t>
  </si>
  <si>
    <t>INV0070</t>
  </si>
  <si>
    <t>INV0071</t>
  </si>
  <si>
    <t>INV0072</t>
  </si>
  <si>
    <t>INV0073</t>
  </si>
  <si>
    <t>INV0074</t>
  </si>
  <si>
    <t>INV0075</t>
  </si>
  <si>
    <t>INV0076</t>
  </si>
  <si>
    <t>INV0077</t>
  </si>
  <si>
    <t>INV0078</t>
  </si>
  <si>
    <t>INV0079</t>
  </si>
  <si>
    <t>INV0080</t>
  </si>
  <si>
    <t>INV0081</t>
  </si>
  <si>
    <t>INV0082</t>
  </si>
  <si>
    <t>INV0083</t>
  </si>
  <si>
    <t>INV0084</t>
  </si>
  <si>
    <t>INV0085</t>
  </si>
  <si>
    <t>INV0086</t>
  </si>
  <si>
    <t>INV0087</t>
  </si>
  <si>
    <t>INV0088</t>
  </si>
  <si>
    <t>INV0089</t>
  </si>
  <si>
    <t>INV0090</t>
  </si>
  <si>
    <t>INV0091</t>
  </si>
  <si>
    <t>INV0092</t>
  </si>
  <si>
    <t>INV0093</t>
  </si>
  <si>
    <t>INV0094</t>
  </si>
  <si>
    <t>INV0095</t>
  </si>
  <si>
    <t>INV0096</t>
  </si>
  <si>
    <t>INV0097</t>
  </si>
  <si>
    <t>INV0098</t>
  </si>
  <si>
    <t>INV0099</t>
  </si>
  <si>
    <t>INV0100</t>
  </si>
  <si>
    <t>INV0101</t>
  </si>
  <si>
    <t>INV0102</t>
  </si>
  <si>
    <t>INV0103</t>
  </si>
  <si>
    <t>INV0104</t>
  </si>
  <si>
    <t>INV0105</t>
  </si>
  <si>
    <t>INV0106</t>
  </si>
  <si>
    <t>INV0107</t>
  </si>
  <si>
    <t>INV0108</t>
  </si>
  <si>
    <t>INV0109</t>
  </si>
  <si>
    <t>INV0110</t>
  </si>
  <si>
    <t>INV0111</t>
  </si>
  <si>
    <t>INV0112</t>
  </si>
  <si>
    <t>INV0113</t>
  </si>
  <si>
    <t>INV0114</t>
  </si>
  <si>
    <t>INV0115</t>
  </si>
  <si>
    <t>INV0116</t>
  </si>
  <si>
    <t>INV0117</t>
  </si>
  <si>
    <t>INV0118</t>
  </si>
  <si>
    <t>INV0119</t>
  </si>
  <si>
    <t>INV0120</t>
  </si>
  <si>
    <t>INV0121</t>
  </si>
  <si>
    <t>INV0122</t>
  </si>
  <si>
    <t>INV0123</t>
  </si>
  <si>
    <t>INV0124</t>
  </si>
  <si>
    <t>INV0125</t>
  </si>
  <si>
    <t>INV0126</t>
  </si>
  <si>
    <t>INV0127</t>
  </si>
  <si>
    <t>INV0128</t>
  </si>
  <si>
    <t>INV0129</t>
  </si>
  <si>
    <t>INV0130</t>
  </si>
  <si>
    <t>INV0131</t>
  </si>
  <si>
    <t>INV0132</t>
  </si>
  <si>
    <t>INV0133</t>
  </si>
  <si>
    <t>INV0134</t>
  </si>
  <si>
    <t>INV0135</t>
  </si>
  <si>
    <t>INV0136</t>
  </si>
  <si>
    <t>INV0137</t>
  </si>
  <si>
    <t>INV0138</t>
  </si>
  <si>
    <t>INV0139</t>
  </si>
  <si>
    <t>INV0140</t>
  </si>
  <si>
    <t>INV0141</t>
  </si>
  <si>
    <t>INV0142</t>
  </si>
  <si>
    <t>INV0143</t>
  </si>
  <si>
    <t>INV0144</t>
  </si>
  <si>
    <t>INV0145</t>
  </si>
  <si>
    <t>INV0146</t>
  </si>
  <si>
    <t>INV0147</t>
  </si>
  <si>
    <t>INV0148</t>
  </si>
  <si>
    <t>INV0149</t>
  </si>
  <si>
    <t>INV0150</t>
  </si>
  <si>
    <t>INV0151</t>
  </si>
  <si>
    <t>INV0152</t>
  </si>
  <si>
    <t>INV0153</t>
  </si>
  <si>
    <t>INV0154</t>
  </si>
  <si>
    <t>INV0155</t>
  </si>
  <si>
    <t>INV0156</t>
  </si>
  <si>
    <t>INV0157</t>
  </si>
  <si>
    <t>INV0158</t>
  </si>
  <si>
    <t>INV0159</t>
  </si>
  <si>
    <t>INV0160</t>
  </si>
  <si>
    <t>INV0161</t>
  </si>
  <si>
    <t>INV0162</t>
  </si>
  <si>
    <t>INV0163</t>
  </si>
  <si>
    <t>INV0164</t>
  </si>
  <si>
    <t>INV0165</t>
  </si>
  <si>
    <t>INV0166</t>
  </si>
  <si>
    <t>INV0167</t>
  </si>
  <si>
    <t>INV0168</t>
  </si>
  <si>
    <t>INV0169</t>
  </si>
  <si>
    <t>INV0170</t>
  </si>
  <si>
    <t>INV0171</t>
  </si>
  <si>
    <t>INV0172</t>
  </si>
  <si>
    <t>INV0173</t>
  </si>
  <si>
    <t>INV0174</t>
  </si>
  <si>
    <t>INV0175</t>
  </si>
  <si>
    <t>INV0176</t>
  </si>
  <si>
    <t>INV0177</t>
  </si>
  <si>
    <t>INV0178</t>
  </si>
  <si>
    <t>INV0179</t>
  </si>
  <si>
    <t>INV0180</t>
  </si>
  <si>
    <t>INV0181</t>
  </si>
  <si>
    <t>INV0182</t>
  </si>
  <si>
    <t>INV0183</t>
  </si>
  <si>
    <t>INV0184</t>
  </si>
  <si>
    <t>INV0185</t>
  </si>
  <si>
    <t>INV0186</t>
  </si>
  <si>
    <t>INV0187</t>
  </si>
  <si>
    <t>INV0188</t>
  </si>
  <si>
    <t>INV0189</t>
  </si>
  <si>
    <t>INV0190</t>
  </si>
  <si>
    <t>INV0191</t>
  </si>
  <si>
    <t>INV0192</t>
  </si>
  <si>
    <t>INV0193</t>
  </si>
  <si>
    <t>INV0194</t>
  </si>
  <si>
    <t>INV0195</t>
  </si>
  <si>
    <t>INV0196</t>
  </si>
  <si>
    <t>INV0197</t>
  </si>
  <si>
    <t>INV0198</t>
  </si>
  <si>
    <t>INV0199</t>
  </si>
  <si>
    <t>INV0200</t>
  </si>
  <si>
    <t>South</t>
  </si>
  <si>
    <t>West</t>
  </si>
  <si>
    <t>North</t>
  </si>
  <si>
    <t>East</t>
  </si>
  <si>
    <t>Central</t>
  </si>
  <si>
    <t>Acer</t>
  </si>
  <si>
    <t>Lenovo</t>
  </si>
  <si>
    <t>HP</t>
  </si>
  <si>
    <t>Dell</t>
  </si>
  <si>
    <t>Asus</t>
  </si>
  <si>
    <t>iPad</t>
  </si>
  <si>
    <t>Aspire 5</t>
  </si>
  <si>
    <t>Swift 3</t>
  </si>
  <si>
    <t>ThinkPad X1</t>
  </si>
  <si>
    <t>Legion 5</t>
  </si>
  <si>
    <t>Pavilion</t>
  </si>
  <si>
    <t>Inspiron 15</t>
  </si>
  <si>
    <t>ZenBook</t>
  </si>
  <si>
    <t>IdeaPad 3</t>
  </si>
  <si>
    <t>G15</t>
  </si>
  <si>
    <t>XPS 13</t>
  </si>
  <si>
    <t>VivoBook</t>
  </si>
  <si>
    <t>iPad Air</t>
  </si>
  <si>
    <t>ROG Zephyrus</t>
  </si>
  <si>
    <t>iPad Mini</t>
  </si>
  <si>
    <t>Spectre</t>
  </si>
  <si>
    <t>Envy</t>
  </si>
  <si>
    <t>Nitro 5</t>
  </si>
  <si>
    <t>iPad Pro</t>
  </si>
  <si>
    <t>Bob</t>
  </si>
  <si>
    <t>Alice</t>
  </si>
  <si>
    <t>Eva</t>
  </si>
  <si>
    <t>David</t>
  </si>
  <si>
    <t>Frank</t>
  </si>
  <si>
    <t>Charlie</t>
  </si>
  <si>
    <t>Retail</t>
  </si>
  <si>
    <t>Corporate</t>
  </si>
  <si>
    <t>Sum of Quantity Sold</t>
  </si>
  <si>
    <t>Sum of Revenue</t>
  </si>
  <si>
    <t>month</t>
  </si>
  <si>
    <t>avg</t>
  </si>
  <si>
    <t>Sum of avg</t>
  </si>
  <si>
    <t>(blank)</t>
  </si>
  <si>
    <t>Brands</t>
  </si>
  <si>
    <t>Revenue in Each Month</t>
  </si>
  <si>
    <t>total Sales in each Month</t>
  </si>
  <si>
    <t>Months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</si>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</sst>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dd\-mmm\-yyyy"/>
  </numFmts>
  <fonts count="4" x14ac:knownFonts="1">
    <font>
      <sz val="11"/>
      <color theme="1"/>
      <name val="Tw Cen MT"/>
      <family val="2"/>
      <scheme val="minor"/>
    </font>
    <font>
      <b/>
      <sz val="11"/>
      <color theme="1"/>
      <name val="Tw Cen MT"/>
      <family val="2"/>
      <scheme val="minor"/>
    </font>
    <font>
      <sz val="8"/>
      <name val="Tw Cen MT"/>
      <family val="2"/>
      <scheme val="minor"/>
    </font>
    <font>
      <b/>
      <sz val="11"/>
      <color theme="0"/>
      <name val="Tw Cen MT"/>
      <family val="2"/>
      <scheme val="minor"/>
    </font>
  </fonts>
  <fills count="4">
    <fill>
      <patternFill patternType="none"/>
    </fill>
    <fill>
      <patternFill patternType="gray125"/>
    </fill>
    <fill>
      <patternFill patternType="solid">
        <fgColor theme="1" tint="0.249977111117893"/>
        <bgColor theme="1" tint="0.249977111117893"/>
      </patternFill>
    </fill>
    <fill>
      <patternFill patternType="solid">
        <fgColor theme="1"/>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theme="1" tint="0.499984740745262"/>
      </left>
      <right/>
      <top/>
      <bottom style="medium">
        <color theme="1" tint="0.499984740745262"/>
      </bottom>
      <diagonal/>
    </border>
    <border>
      <left/>
      <right style="medium">
        <color theme="1" tint="0.499984740745262"/>
      </right>
      <top/>
      <bottom style="medium">
        <color theme="1" tint="0.499984740745262"/>
      </bottom>
      <diagonal/>
    </border>
  </borders>
  <cellStyleXfs count="1">
    <xf numFmtId="0" fontId="0" fillId="0" borderId="0"/>
  </cellStyleXfs>
  <cellXfs count="19">
    <xf numFmtId="0" fontId="0" fillId="0" borderId="0" xfId="0"/>
    <xf numFmtId="0" fontId="0" fillId="0" borderId="1" xfId="0" applyBorder="1"/>
    <xf numFmtId="0" fontId="0" fillId="0" borderId="0" xfId="0" pivotButton="1"/>
    <xf numFmtId="0" fontId="0" fillId="0" borderId="0" xfId="0" applyAlignment="1">
      <alignment horizontal="left"/>
    </xf>
    <xf numFmtId="0" fontId="0" fillId="0" borderId="2" xfId="0" applyBorder="1"/>
    <xf numFmtId="0" fontId="0" fillId="0" borderId="3" xfId="0" applyBorder="1"/>
    <xf numFmtId="0" fontId="1" fillId="0" borderId="4" xfId="0" applyFont="1" applyBorder="1" applyAlignment="1">
      <alignment horizontal="center" vertical="top"/>
    </xf>
    <xf numFmtId="0" fontId="1" fillId="0" borderId="5" xfId="0" applyFont="1" applyBorder="1" applyAlignment="1">
      <alignment horizontal="center" vertical="top"/>
    </xf>
    <xf numFmtId="0" fontId="1" fillId="0" borderId="6" xfId="0" applyFont="1" applyBorder="1" applyAlignment="1">
      <alignment horizontal="center" vertical="top"/>
    </xf>
    <xf numFmtId="0" fontId="0" fillId="0" borderId="7" xfId="0" applyBorder="1"/>
    <xf numFmtId="0" fontId="0" fillId="0" borderId="8" xfId="0" applyBorder="1"/>
    <xf numFmtId="0" fontId="0" fillId="0" borderId="9" xfId="0" applyBorder="1"/>
    <xf numFmtId="165" fontId="0" fillId="0" borderId="1" xfId="0" applyNumberFormat="1" applyBorder="1"/>
    <xf numFmtId="165" fontId="1" fillId="0" borderId="5" xfId="0" applyNumberFormat="1" applyFont="1" applyBorder="1" applyAlignment="1">
      <alignment horizontal="center" vertical="top"/>
    </xf>
    <xf numFmtId="165" fontId="0" fillId="0" borderId="0" xfId="0" applyNumberFormat="1"/>
    <xf numFmtId="0" fontId="3" fillId="2" borderId="10" xfId="0" applyFont="1" applyFill="1" applyBorder="1" applyAlignment="1">
      <alignment horizontal="left"/>
    </xf>
    <xf numFmtId="0" fontId="3" fillId="2" borderId="11" xfId="0" applyFont="1" applyFill="1" applyBorder="1"/>
    <xf numFmtId="0" fontId="0" fillId="3" borderId="0" xfId="0" applyFill="1"/>
    <xf numFmtId="0" fontId="0" fillId="0" borderId="0" xfId="0" applyNumberFormat="1"/>
  </cellXfs>
  <cellStyles count="1">
    <cellStyle name="Normal" xfId="0" builtinId="0"/>
  </cellStyles>
  <dxfs count="16">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numFmt numFmtId="0" formatCode="General"/>
      <border diagonalUp="0" diagonalDown="0">
        <left style="thin">
          <color auto="1"/>
        </left>
        <right style="thin">
          <color auto="1"/>
        </right>
        <top style="thin">
          <color auto="1"/>
        </top>
        <bottom style="thin">
          <color auto="1"/>
        </bottom>
        <vertical/>
        <horizontal/>
      </border>
    </dxf>
    <dxf>
      <numFmt numFmtId="165" formatCode="dd\-mmm\-yyyy"/>
      <border diagonalUp="0" diagonalDown="0">
        <left style="thin">
          <color auto="1"/>
        </left>
        <right style="thin">
          <color auto="1"/>
        </right>
        <top style="thin">
          <color auto="1"/>
        </top>
        <bottom style="thin">
          <color auto="1"/>
        </bottom>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1"/>
        <color theme="1"/>
        <name val="Tw Cen MT"/>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F47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[Laptop_Sales_Sample_Data.xlsx]kpi!PivotTable1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kpi!$B$3</c:f>
              <c:strCache>
                <c:ptCount val="1"/>
                <c:pt idx="0">
                  <c:v>Total</c:v>
                </c:pt>
              </c:strCache>
            </c:strRef>
          </c:tx>
          <c:spPr>
            <a:gradFill rotWithShape="1">
              <a:gsLst>
                <a:gs pos="0">
                  <a:schemeClr val="accent4">
                    <a:tint val="94000"/>
                    <a:satMod val="100000"/>
                    <a:lumMod val="108000"/>
                  </a:schemeClr>
                </a:gs>
                <a:gs pos="50000">
                  <a:schemeClr val="accent4">
                    <a:tint val="98000"/>
                    <a:shade val="100000"/>
                    <a:satMod val="100000"/>
                    <a:lumMod val="100000"/>
                  </a:schemeClr>
                </a:gs>
                <a:gs pos="100000">
                  <a:schemeClr val="accent4">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kpi!$A$4:$A$9</c:f>
              <c:strCache>
                <c:ptCount val="6"/>
                <c:pt idx="0">
                  <c:v>Lenovo</c:v>
                </c:pt>
                <c:pt idx="1">
                  <c:v>Acer</c:v>
                </c:pt>
                <c:pt idx="2">
                  <c:v>Dell</c:v>
                </c:pt>
                <c:pt idx="3">
                  <c:v>Asus</c:v>
                </c:pt>
                <c:pt idx="4">
                  <c:v>iPad</c:v>
                </c:pt>
                <c:pt idx="5">
                  <c:v>HP</c:v>
                </c:pt>
              </c:strCache>
            </c:strRef>
          </c:cat>
          <c:val>
            <c:numRef>
              <c:f>kpi!$B$4:$B$9</c:f>
              <c:numCache>
                <c:formatCode>General</c:formatCode>
                <c:ptCount val="6"/>
                <c:pt idx="0">
                  <c:v>122</c:v>
                </c:pt>
                <c:pt idx="1">
                  <c:v>110</c:v>
                </c:pt>
                <c:pt idx="2">
                  <c:v>98</c:v>
                </c:pt>
                <c:pt idx="3">
                  <c:v>89</c:v>
                </c:pt>
                <c:pt idx="4">
                  <c:v>84</c:v>
                </c:pt>
                <c:pt idx="5">
                  <c:v>69</c:v>
                </c:pt>
              </c:numCache>
            </c:numRef>
          </c:val>
          <c:extLst>
            <c:ext xmlns:c16="http://schemas.microsoft.com/office/drawing/2014/chart" uri="{C3380CC4-5D6E-409C-BE32-E72D297353CC}">
              <c16:uniqueId val="{00000000-A552-4448-9BF6-9A1F854E5B77}"/>
            </c:ext>
          </c:extLst>
        </c:ser>
        <c:dLbls>
          <c:dLblPos val="inEnd"/>
          <c:showLegendKey val="0"/>
          <c:showVal val="1"/>
          <c:showCatName val="0"/>
          <c:showSerName val="0"/>
          <c:showPercent val="0"/>
          <c:showBubbleSize val="0"/>
        </c:dLbls>
        <c:gapWidth val="115"/>
        <c:overlap val="-20"/>
        <c:axId val="364418416"/>
        <c:axId val="364418736"/>
      </c:barChart>
      <c:catAx>
        <c:axId val="36441841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4418736"/>
        <c:crosses val="autoZero"/>
        <c:auto val="1"/>
        <c:lblAlgn val="ctr"/>
        <c:lblOffset val="100"/>
        <c:noMultiLvlLbl val="0"/>
      </c:catAx>
      <c:valAx>
        <c:axId val="364418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64418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[Laptop_Sales_Sample_Data.xlsx]kpi!PivotTable7</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kpi!$E$3</c:f>
              <c:strCache>
                <c:ptCount val="1"/>
                <c:pt idx="0">
                  <c:v>Total</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kpi!$D$4:$D$9</c:f>
              <c:strCache>
                <c:ptCount val="6"/>
                <c:pt idx="0">
                  <c:v>Acer</c:v>
                </c:pt>
                <c:pt idx="1">
                  <c:v>Lenovo</c:v>
                </c:pt>
                <c:pt idx="2">
                  <c:v>Dell</c:v>
                </c:pt>
                <c:pt idx="3">
                  <c:v>Asus</c:v>
                </c:pt>
                <c:pt idx="4">
                  <c:v>iPad</c:v>
                </c:pt>
                <c:pt idx="5">
                  <c:v>HP</c:v>
                </c:pt>
              </c:strCache>
            </c:strRef>
          </c:cat>
          <c:val>
            <c:numRef>
              <c:f>kpi!$E$4:$E$9</c:f>
              <c:numCache>
                <c:formatCode>General</c:formatCode>
                <c:ptCount val="6"/>
                <c:pt idx="0">
                  <c:v>7338048</c:v>
                </c:pt>
                <c:pt idx="1">
                  <c:v>7203742</c:v>
                </c:pt>
                <c:pt idx="2">
                  <c:v>6875517</c:v>
                </c:pt>
                <c:pt idx="3">
                  <c:v>5716734</c:v>
                </c:pt>
                <c:pt idx="4">
                  <c:v>5525621</c:v>
                </c:pt>
                <c:pt idx="5">
                  <c:v>4287311</c:v>
                </c:pt>
              </c:numCache>
            </c:numRef>
          </c:val>
          <c:extLst>
            <c:ext xmlns:c16="http://schemas.microsoft.com/office/drawing/2014/chart" uri="{C3380CC4-5D6E-409C-BE32-E72D297353CC}">
              <c16:uniqueId val="{00000000-083E-4B5E-BA9F-8D9ED966AE1E}"/>
            </c:ext>
          </c:extLst>
        </c:ser>
        <c:dLbls>
          <c:dLblPos val="outEnd"/>
          <c:showLegendKey val="0"/>
          <c:showVal val="1"/>
          <c:showCatName val="0"/>
          <c:showSerName val="0"/>
          <c:showPercent val="0"/>
          <c:showBubbleSize val="0"/>
        </c:dLbls>
        <c:gapWidth val="444"/>
        <c:overlap val="-90"/>
        <c:axId val="828364464"/>
        <c:axId val="830451192"/>
      </c:barChart>
      <c:catAx>
        <c:axId val="8283644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830451192"/>
        <c:crosses val="autoZero"/>
        <c:auto val="1"/>
        <c:lblAlgn val="ctr"/>
        <c:lblOffset val="100"/>
        <c:noMultiLvlLbl val="0"/>
      </c:catAx>
      <c:valAx>
        <c:axId val="830451192"/>
        <c:scaling>
          <c:orientation val="minMax"/>
        </c:scaling>
        <c:delete val="1"/>
        <c:axPos val="l"/>
        <c:numFmt formatCode="General" sourceLinked="1"/>
        <c:majorTickMark val="none"/>
        <c:minorTickMark val="none"/>
        <c:tickLblPos val="nextTo"/>
        <c:crossAx val="828364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[Laptop_Sales_Sample_Data.xlsx]kpi!PivotTable5</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kpi!$B$15</c:f>
              <c:strCache>
                <c:ptCount val="1"/>
                <c:pt idx="0">
                  <c:v>Total</c:v>
                </c:pt>
              </c:strCache>
            </c:strRef>
          </c:tx>
          <c:spPr>
            <a:ln w="22225" cap="rnd">
              <a:solidFill>
                <a:schemeClr val="accent6"/>
              </a:solidFill>
              <a:round/>
            </a:ln>
            <a:effectLst/>
          </c:spPr>
          <c:marker>
            <c:symbol val="diamond"/>
            <c:size val="6"/>
            <c:spPr>
              <a:solidFill>
                <a:schemeClr val="accent6"/>
              </a:solidFill>
              <a:ln w="9525">
                <a:solidFill>
                  <a:schemeClr val="accent6"/>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9050" cap="rnd">
                <a:solidFill>
                  <a:schemeClr val="accent6"/>
                </a:solidFill>
                <a:prstDash val="sysDash"/>
              </a:ln>
              <a:effectLst/>
            </c:spPr>
            <c:trendlineType val="linear"/>
            <c:dispRSqr val="0"/>
            <c:dispEq val="0"/>
          </c:trendline>
          <c:cat>
            <c:strRef>
              <c:f>kpi!$A$16:$A$21</c:f>
              <c:strCache>
                <c:ptCount val="6"/>
                <c:pt idx="0">
                  <c:v>1</c:v>
                </c:pt>
                <c:pt idx="1">
                  <c:v>2</c:v>
                </c:pt>
                <c:pt idx="2">
                  <c:v>3</c:v>
                </c:pt>
                <c:pt idx="3">
                  <c:v>4</c:v>
                </c:pt>
                <c:pt idx="4">
                  <c:v>5</c:v>
                </c:pt>
                <c:pt idx="5">
                  <c:v>6</c:v>
                </c:pt>
              </c:strCache>
            </c:strRef>
          </c:cat>
          <c:val>
            <c:numRef>
              <c:f>kpi!$B$16:$B$21</c:f>
              <c:numCache>
                <c:formatCode>General</c:formatCode>
                <c:ptCount val="6"/>
                <c:pt idx="0">
                  <c:v>109</c:v>
                </c:pt>
                <c:pt idx="1">
                  <c:v>63</c:v>
                </c:pt>
                <c:pt idx="2">
                  <c:v>92</c:v>
                </c:pt>
                <c:pt idx="3">
                  <c:v>124</c:v>
                </c:pt>
                <c:pt idx="4">
                  <c:v>76</c:v>
                </c:pt>
                <c:pt idx="5">
                  <c:v>108</c:v>
                </c:pt>
              </c:numCache>
            </c:numRef>
          </c:val>
          <c:smooth val="0"/>
          <c:extLst>
            <c:ext xmlns:c16="http://schemas.microsoft.com/office/drawing/2014/chart" uri="{C3380CC4-5D6E-409C-BE32-E72D297353CC}">
              <c16:uniqueId val="{00000000-B347-41C8-B04F-420AAA4052AC}"/>
            </c:ext>
          </c:extLst>
        </c:ser>
        <c:dLbls>
          <c:dLblPos val="t"/>
          <c:showLegendKey val="0"/>
          <c:showVal val="1"/>
          <c:showCatName val="0"/>
          <c:showSerName val="0"/>
          <c:showPercent val="0"/>
          <c:showBubbleSize val="0"/>
        </c:dLbls>
        <c:marker val="1"/>
        <c:smooth val="0"/>
        <c:axId val="827369144"/>
        <c:axId val="827372024"/>
      </c:lineChart>
      <c:catAx>
        <c:axId val="827369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bg1"/>
                </a:solidFill>
                <a:latin typeface="+mn-lt"/>
                <a:ea typeface="+mn-ea"/>
                <a:cs typeface="+mn-cs"/>
              </a:defRPr>
            </a:pPr>
            <a:endParaRPr lang="en-US"/>
          </a:p>
        </c:txPr>
        <c:crossAx val="827372024"/>
        <c:crosses val="autoZero"/>
        <c:auto val="1"/>
        <c:lblAlgn val="ctr"/>
        <c:lblOffset val="100"/>
        <c:noMultiLvlLbl val="0"/>
      </c:catAx>
      <c:valAx>
        <c:axId val="827372024"/>
        <c:scaling>
          <c:orientation val="minMax"/>
        </c:scaling>
        <c:delete val="0"/>
        <c:axPos val="l"/>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7369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[Laptop_Sales_Sample_Data.xlsx]kpi!PivotTable12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48076818407527078"/>
          <c:y val="6.9403959155015862E-2"/>
          <c:w val="0.49036772065541667"/>
          <c:h val="0.95344388055622309"/>
        </c:manualLayout>
      </c:layout>
      <c:pieChart>
        <c:varyColors val="1"/>
        <c:ser>
          <c:idx val="0"/>
          <c:order val="0"/>
          <c:tx>
            <c:strRef>
              <c:f>kpi!$E$15</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45F-4918-BD4F-82E00760190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45F-4918-BD4F-82E00760190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45F-4918-BD4F-82E00760190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45F-4918-BD4F-82E00760190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45F-4918-BD4F-82E007601907}"/>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345F-4918-BD4F-82E00760190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kpi!$D$16:$D$21</c:f>
              <c:strCache>
                <c:ptCount val="6"/>
                <c:pt idx="0">
                  <c:v>Lenovo</c:v>
                </c:pt>
                <c:pt idx="1">
                  <c:v>Acer</c:v>
                </c:pt>
                <c:pt idx="2">
                  <c:v>Dell</c:v>
                </c:pt>
                <c:pt idx="3">
                  <c:v>Asus</c:v>
                </c:pt>
                <c:pt idx="4">
                  <c:v>iPad</c:v>
                </c:pt>
                <c:pt idx="5">
                  <c:v>HP</c:v>
                </c:pt>
              </c:strCache>
            </c:strRef>
          </c:cat>
          <c:val>
            <c:numRef>
              <c:f>kpi!$E$16:$E$21</c:f>
              <c:numCache>
                <c:formatCode>General</c:formatCode>
                <c:ptCount val="6"/>
                <c:pt idx="0">
                  <c:v>154</c:v>
                </c:pt>
                <c:pt idx="1">
                  <c:v>128</c:v>
                </c:pt>
                <c:pt idx="2">
                  <c:v>117</c:v>
                </c:pt>
                <c:pt idx="3">
                  <c:v>114</c:v>
                </c:pt>
                <c:pt idx="4">
                  <c:v>105</c:v>
                </c:pt>
                <c:pt idx="5">
                  <c:v>95</c:v>
                </c:pt>
              </c:numCache>
            </c:numRef>
          </c:val>
          <c:extLst>
            <c:ext xmlns:c16="http://schemas.microsoft.com/office/drawing/2014/chart" uri="{C3380CC4-5D6E-409C-BE32-E72D297353CC}">
              <c16:uniqueId val="{0000000C-345F-4918-BD4F-82E0076019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9.8869005010737254E-2"/>
          <c:y val="0.17484226051635826"/>
          <c:w val="0.20989430375257148"/>
          <c:h val="0.66096448446637168"/>
        </c:manualLayout>
      </c:layout>
      <c:overlay val="0"/>
      <c:spPr>
        <a:solidFill>
          <a:schemeClr val="bg1">
            <a:lumMod val="85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[Laptop_Sales_Sample_Data.xlsx]kpi!PivotTable13</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kpi!$H$15:$H$16</c:f>
              <c:strCache>
                <c:ptCount val="1"/>
                <c:pt idx="0">
                  <c:v>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kpi!$G$17:$G$21</c:f>
              <c:strCache>
                <c:ptCount val="5"/>
                <c:pt idx="0">
                  <c:v>West</c:v>
                </c:pt>
                <c:pt idx="1">
                  <c:v>South</c:v>
                </c:pt>
                <c:pt idx="2">
                  <c:v>East</c:v>
                </c:pt>
                <c:pt idx="3">
                  <c:v>Central</c:v>
                </c:pt>
                <c:pt idx="4">
                  <c:v>North</c:v>
                </c:pt>
              </c:strCache>
            </c:strRef>
          </c:cat>
          <c:val>
            <c:numRef>
              <c:f>kpi!$H$17:$H$21</c:f>
              <c:numCache>
                <c:formatCode>General</c:formatCode>
                <c:ptCount val="5"/>
                <c:pt idx="0">
                  <c:v>1501217</c:v>
                </c:pt>
                <c:pt idx="1">
                  <c:v>1099633</c:v>
                </c:pt>
                <c:pt idx="2">
                  <c:v>1199292</c:v>
                </c:pt>
                <c:pt idx="3">
                  <c:v>1753833</c:v>
                </c:pt>
                <c:pt idx="4">
                  <c:v>1266674</c:v>
                </c:pt>
              </c:numCache>
            </c:numRef>
          </c:val>
          <c:smooth val="0"/>
          <c:extLst>
            <c:ext xmlns:c16="http://schemas.microsoft.com/office/drawing/2014/chart" uri="{C3380CC4-5D6E-409C-BE32-E72D297353CC}">
              <c16:uniqueId val="{00000000-CB49-4EA5-9F25-ECF56EE893E0}"/>
            </c:ext>
          </c:extLst>
        </c:ser>
        <c:ser>
          <c:idx val="1"/>
          <c:order val="1"/>
          <c:tx>
            <c:strRef>
              <c:f>kpi!$I$15:$I$16</c:f>
              <c:strCache>
                <c:ptCount val="1"/>
                <c:pt idx="0">
                  <c:v>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kpi!$G$17:$G$21</c:f>
              <c:strCache>
                <c:ptCount val="5"/>
                <c:pt idx="0">
                  <c:v>West</c:v>
                </c:pt>
                <c:pt idx="1">
                  <c:v>South</c:v>
                </c:pt>
                <c:pt idx="2">
                  <c:v>East</c:v>
                </c:pt>
                <c:pt idx="3">
                  <c:v>Central</c:v>
                </c:pt>
                <c:pt idx="4">
                  <c:v>North</c:v>
                </c:pt>
              </c:strCache>
            </c:strRef>
          </c:cat>
          <c:val>
            <c:numRef>
              <c:f>kpi!$I$17:$I$21</c:f>
              <c:numCache>
                <c:formatCode>General</c:formatCode>
                <c:ptCount val="5"/>
                <c:pt idx="0">
                  <c:v>1927105</c:v>
                </c:pt>
                <c:pt idx="1">
                  <c:v>690278</c:v>
                </c:pt>
                <c:pt idx="2">
                  <c:v>528793</c:v>
                </c:pt>
                <c:pt idx="3">
                  <c:v>845714</c:v>
                </c:pt>
                <c:pt idx="4">
                  <c:v>79676</c:v>
                </c:pt>
              </c:numCache>
            </c:numRef>
          </c:val>
          <c:smooth val="0"/>
          <c:extLst>
            <c:ext xmlns:c16="http://schemas.microsoft.com/office/drawing/2014/chart" uri="{C3380CC4-5D6E-409C-BE32-E72D297353CC}">
              <c16:uniqueId val="{00000001-EE9F-4470-A43D-23207024EC71}"/>
            </c:ext>
          </c:extLst>
        </c:ser>
        <c:ser>
          <c:idx val="2"/>
          <c:order val="2"/>
          <c:tx>
            <c:strRef>
              <c:f>kpi!$J$15:$J$16</c:f>
              <c:strCache>
                <c:ptCount val="1"/>
                <c:pt idx="0">
                  <c:v>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kpi!$G$17:$G$21</c:f>
              <c:strCache>
                <c:ptCount val="5"/>
                <c:pt idx="0">
                  <c:v>West</c:v>
                </c:pt>
                <c:pt idx="1">
                  <c:v>South</c:v>
                </c:pt>
                <c:pt idx="2">
                  <c:v>East</c:v>
                </c:pt>
                <c:pt idx="3">
                  <c:v>Central</c:v>
                </c:pt>
                <c:pt idx="4">
                  <c:v>North</c:v>
                </c:pt>
              </c:strCache>
            </c:strRef>
          </c:cat>
          <c:val>
            <c:numRef>
              <c:f>kpi!$J$17:$J$21</c:f>
              <c:numCache>
                <c:formatCode>General</c:formatCode>
                <c:ptCount val="5"/>
                <c:pt idx="0">
                  <c:v>814807</c:v>
                </c:pt>
                <c:pt idx="1">
                  <c:v>1664364</c:v>
                </c:pt>
                <c:pt idx="2">
                  <c:v>1909610</c:v>
                </c:pt>
                <c:pt idx="3">
                  <c:v>1276244</c:v>
                </c:pt>
                <c:pt idx="4">
                  <c:v>737314</c:v>
                </c:pt>
              </c:numCache>
            </c:numRef>
          </c:val>
          <c:smooth val="0"/>
          <c:extLst>
            <c:ext xmlns:c16="http://schemas.microsoft.com/office/drawing/2014/chart" uri="{C3380CC4-5D6E-409C-BE32-E72D297353CC}">
              <c16:uniqueId val="{00000002-EE9F-4470-A43D-23207024EC71}"/>
            </c:ext>
          </c:extLst>
        </c:ser>
        <c:ser>
          <c:idx val="3"/>
          <c:order val="3"/>
          <c:tx>
            <c:strRef>
              <c:f>kpi!$K$15:$K$16</c:f>
              <c:strCache>
                <c:ptCount val="1"/>
                <c:pt idx="0">
                  <c:v>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kpi!$G$17:$G$21</c:f>
              <c:strCache>
                <c:ptCount val="5"/>
                <c:pt idx="0">
                  <c:v>West</c:v>
                </c:pt>
                <c:pt idx="1">
                  <c:v>South</c:v>
                </c:pt>
                <c:pt idx="2">
                  <c:v>East</c:v>
                </c:pt>
                <c:pt idx="3">
                  <c:v>Central</c:v>
                </c:pt>
                <c:pt idx="4">
                  <c:v>North</c:v>
                </c:pt>
              </c:strCache>
            </c:strRef>
          </c:cat>
          <c:val>
            <c:numRef>
              <c:f>kpi!$K$17:$K$21</c:f>
              <c:numCache>
                <c:formatCode>General</c:formatCode>
                <c:ptCount val="5"/>
                <c:pt idx="0">
                  <c:v>1302067</c:v>
                </c:pt>
                <c:pt idx="1">
                  <c:v>1657218</c:v>
                </c:pt>
                <c:pt idx="2">
                  <c:v>1473479</c:v>
                </c:pt>
                <c:pt idx="3">
                  <c:v>2388080</c:v>
                </c:pt>
                <c:pt idx="4">
                  <c:v>542420</c:v>
                </c:pt>
              </c:numCache>
            </c:numRef>
          </c:val>
          <c:smooth val="0"/>
          <c:extLst>
            <c:ext xmlns:c16="http://schemas.microsoft.com/office/drawing/2014/chart" uri="{C3380CC4-5D6E-409C-BE32-E72D297353CC}">
              <c16:uniqueId val="{00000003-EE9F-4470-A43D-23207024EC71}"/>
            </c:ext>
          </c:extLst>
        </c:ser>
        <c:ser>
          <c:idx val="4"/>
          <c:order val="4"/>
          <c:tx>
            <c:strRef>
              <c:f>kpi!$L$15:$L$16</c:f>
              <c:strCache>
                <c:ptCount val="1"/>
                <c:pt idx="0">
                  <c:v>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kpi!$G$17:$G$21</c:f>
              <c:strCache>
                <c:ptCount val="5"/>
                <c:pt idx="0">
                  <c:v>West</c:v>
                </c:pt>
                <c:pt idx="1">
                  <c:v>South</c:v>
                </c:pt>
                <c:pt idx="2">
                  <c:v>East</c:v>
                </c:pt>
                <c:pt idx="3">
                  <c:v>Central</c:v>
                </c:pt>
                <c:pt idx="4">
                  <c:v>North</c:v>
                </c:pt>
              </c:strCache>
            </c:strRef>
          </c:cat>
          <c:val>
            <c:numRef>
              <c:f>kpi!$L$17:$L$21</c:f>
              <c:numCache>
                <c:formatCode>General</c:formatCode>
                <c:ptCount val="5"/>
                <c:pt idx="0">
                  <c:v>1504676</c:v>
                </c:pt>
                <c:pt idx="1">
                  <c:v>836659</c:v>
                </c:pt>
                <c:pt idx="2">
                  <c:v>1024461</c:v>
                </c:pt>
                <c:pt idx="3">
                  <c:v>363244</c:v>
                </c:pt>
                <c:pt idx="4">
                  <c:v>1339177</c:v>
                </c:pt>
              </c:numCache>
            </c:numRef>
          </c:val>
          <c:smooth val="0"/>
          <c:extLst>
            <c:ext xmlns:c16="http://schemas.microsoft.com/office/drawing/2014/chart" uri="{C3380CC4-5D6E-409C-BE32-E72D297353CC}">
              <c16:uniqueId val="{00000004-EE9F-4470-A43D-23207024EC71}"/>
            </c:ext>
          </c:extLst>
        </c:ser>
        <c:ser>
          <c:idx val="5"/>
          <c:order val="5"/>
          <c:tx>
            <c:strRef>
              <c:f>kpi!$M$15:$M$16</c:f>
              <c:strCache>
                <c:ptCount val="1"/>
                <c:pt idx="0">
                  <c:v>6</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kpi!$G$17:$G$21</c:f>
              <c:strCache>
                <c:ptCount val="5"/>
                <c:pt idx="0">
                  <c:v>West</c:v>
                </c:pt>
                <c:pt idx="1">
                  <c:v>South</c:v>
                </c:pt>
                <c:pt idx="2">
                  <c:v>East</c:v>
                </c:pt>
                <c:pt idx="3">
                  <c:v>Central</c:v>
                </c:pt>
                <c:pt idx="4">
                  <c:v>North</c:v>
                </c:pt>
              </c:strCache>
            </c:strRef>
          </c:cat>
          <c:val>
            <c:numRef>
              <c:f>kpi!$M$17:$M$21</c:f>
              <c:numCache>
                <c:formatCode>General</c:formatCode>
                <c:ptCount val="5"/>
                <c:pt idx="0">
                  <c:v>1854347</c:v>
                </c:pt>
                <c:pt idx="1">
                  <c:v>1828255</c:v>
                </c:pt>
                <c:pt idx="2">
                  <c:v>1367789</c:v>
                </c:pt>
                <c:pt idx="3">
                  <c:v>811381</c:v>
                </c:pt>
                <c:pt idx="4">
                  <c:v>1359166</c:v>
                </c:pt>
              </c:numCache>
            </c:numRef>
          </c:val>
          <c:smooth val="0"/>
          <c:extLst>
            <c:ext xmlns:c16="http://schemas.microsoft.com/office/drawing/2014/chart" uri="{C3380CC4-5D6E-409C-BE32-E72D297353CC}">
              <c16:uniqueId val="{00000005-EE9F-4470-A43D-23207024EC71}"/>
            </c:ext>
          </c:extLst>
        </c:ser>
        <c:dLbls>
          <c:showLegendKey val="0"/>
          <c:showVal val="0"/>
          <c:showCatName val="0"/>
          <c:showSerName val="0"/>
          <c:showPercent val="0"/>
          <c:showBubbleSize val="0"/>
        </c:dLbls>
        <c:marker val="1"/>
        <c:smooth val="0"/>
        <c:axId val="827373624"/>
        <c:axId val="827375544"/>
      </c:lineChart>
      <c:catAx>
        <c:axId val="827373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7375544"/>
        <c:crosses val="autoZero"/>
        <c:auto val="1"/>
        <c:lblAlgn val="ctr"/>
        <c:lblOffset val="100"/>
        <c:noMultiLvlLbl val="0"/>
      </c:catAx>
      <c:valAx>
        <c:axId val="82737554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7373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95250</xdr:colOff>
      <xdr:row>0</xdr:row>
      <xdr:rowOff>53340</xdr:rowOff>
    </xdr:from>
    <xdr:to>
      <xdr:col>21</xdr:col>
      <xdr:colOff>152400</xdr:colOff>
      <xdr:row>5</xdr:row>
      <xdr:rowOff>30480</xdr:rowOff>
    </xdr:to>
    <xdr:sp macro="" textlink="">
      <xdr:nvSpPr>
        <xdr:cNvPr id="2" name="Rectangle: Diagonal Corners Snipped 1">
          <a:extLst>
            <a:ext uri="{FF2B5EF4-FFF2-40B4-BE49-F238E27FC236}">
              <a16:creationId xmlns:a16="http://schemas.microsoft.com/office/drawing/2014/main" id="{16966195-F262-4569-9D34-49917D23FE3C}"/>
            </a:ext>
          </a:extLst>
        </xdr:cNvPr>
        <xdr:cNvSpPr/>
      </xdr:nvSpPr>
      <xdr:spPr>
        <a:xfrm>
          <a:off x="95250" y="53340"/>
          <a:ext cx="14859000" cy="834390"/>
        </a:xfrm>
        <a:prstGeom prst="snip2DiagRect">
          <a:avLst/>
        </a:prstGeom>
        <a:solidFill>
          <a:schemeClr val="tx1"/>
        </a:solidFill>
        <a:ln>
          <a:noFill/>
        </a:ln>
        <a:effectLst>
          <a:glow rad="127000">
            <a:schemeClr val="accent1">
              <a:alpha val="46000"/>
            </a:schemeClr>
          </a:glow>
          <a:reflection blurRad="6350" stA="52000" endA="300" endPos="35000" dir="5400000" sy="-100000" algn="bl" rotWithShape="0"/>
        </a:effectLst>
        <a:scene3d>
          <a:camera prst="orthographicFront"/>
          <a:lightRig rig="threePt" dir="t"/>
        </a:scene3d>
        <a:sp3d>
          <a:bevelT w="165100" prst="coolSlan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152400</xdr:colOff>
      <xdr:row>5</xdr:row>
      <xdr:rowOff>99060</xdr:rowOff>
    </xdr:from>
    <xdr:to>
      <xdr:col>21</xdr:col>
      <xdr:colOff>160020</xdr:colOff>
      <xdr:row>20</xdr:row>
      <xdr:rowOff>99060</xdr:rowOff>
    </xdr:to>
    <xdr:sp macro="" textlink="">
      <xdr:nvSpPr>
        <xdr:cNvPr id="3" name="Flowchart: Off-page Connector 2">
          <a:extLst>
            <a:ext uri="{FF2B5EF4-FFF2-40B4-BE49-F238E27FC236}">
              <a16:creationId xmlns:a16="http://schemas.microsoft.com/office/drawing/2014/main" id="{897EB730-230A-4DD4-B0A5-C36DB209C803}"/>
            </a:ext>
          </a:extLst>
        </xdr:cNvPr>
        <xdr:cNvSpPr/>
      </xdr:nvSpPr>
      <xdr:spPr>
        <a:xfrm rot="10800000">
          <a:off x="12527280" y="1013460"/>
          <a:ext cx="1836420" cy="2743200"/>
        </a:xfrm>
        <a:prstGeom prst="flowChartOffpageConnector">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173355</xdr:colOff>
      <xdr:row>20</xdr:row>
      <xdr:rowOff>120015</xdr:rowOff>
    </xdr:from>
    <xdr:to>
      <xdr:col>21</xdr:col>
      <xdr:colOff>211455</xdr:colOff>
      <xdr:row>36</xdr:row>
      <xdr:rowOff>13335</xdr:rowOff>
    </xdr:to>
    <xdr:sp macro="" textlink="">
      <xdr:nvSpPr>
        <xdr:cNvPr id="4" name="Flowchart: Off-page Connector 3">
          <a:extLst>
            <a:ext uri="{FF2B5EF4-FFF2-40B4-BE49-F238E27FC236}">
              <a16:creationId xmlns:a16="http://schemas.microsoft.com/office/drawing/2014/main" id="{2835FEBF-D959-44CA-A65D-7D6404CB75AF}"/>
            </a:ext>
          </a:extLst>
        </xdr:cNvPr>
        <xdr:cNvSpPr/>
      </xdr:nvSpPr>
      <xdr:spPr>
        <a:xfrm rot="10800000">
          <a:off x="12974955" y="3549015"/>
          <a:ext cx="2038350" cy="2636520"/>
        </a:xfrm>
        <a:prstGeom prst="flowChartOffpageConnector">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99060</xdr:colOff>
      <xdr:row>5</xdr:row>
      <xdr:rowOff>114300</xdr:rowOff>
    </xdr:from>
    <xdr:to>
      <xdr:col>18</xdr:col>
      <xdr:colOff>53340</xdr:colOff>
      <xdr:row>20</xdr:row>
      <xdr:rowOff>60960</xdr:rowOff>
    </xdr:to>
    <xdr:sp macro="" textlink="">
      <xdr:nvSpPr>
        <xdr:cNvPr id="5" name="Rectangle: Diagonal Corners Snipped 4">
          <a:extLst>
            <a:ext uri="{FF2B5EF4-FFF2-40B4-BE49-F238E27FC236}">
              <a16:creationId xmlns:a16="http://schemas.microsoft.com/office/drawing/2014/main" id="{8960745E-A031-4A9A-85F2-2AA749147AFB}"/>
            </a:ext>
          </a:extLst>
        </xdr:cNvPr>
        <xdr:cNvSpPr/>
      </xdr:nvSpPr>
      <xdr:spPr>
        <a:xfrm>
          <a:off x="99060" y="971550"/>
          <a:ext cx="12755880" cy="2518410"/>
        </a:xfrm>
        <a:prstGeom prst="snip2Diag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91440</xdr:colOff>
      <xdr:row>20</xdr:row>
      <xdr:rowOff>110067</xdr:rowOff>
    </xdr:from>
    <xdr:to>
      <xdr:col>18</xdr:col>
      <xdr:colOff>60960</xdr:colOff>
      <xdr:row>36</xdr:row>
      <xdr:rowOff>38100</xdr:rowOff>
    </xdr:to>
    <xdr:sp macro="" textlink="">
      <xdr:nvSpPr>
        <xdr:cNvPr id="6" name="Rectangle: Diagonal Corners Snipped 5">
          <a:extLst>
            <a:ext uri="{FF2B5EF4-FFF2-40B4-BE49-F238E27FC236}">
              <a16:creationId xmlns:a16="http://schemas.microsoft.com/office/drawing/2014/main" id="{87BA3DAB-3E0B-4963-9D39-812A03A3B51B}"/>
            </a:ext>
          </a:extLst>
        </xdr:cNvPr>
        <xdr:cNvSpPr/>
      </xdr:nvSpPr>
      <xdr:spPr>
        <a:xfrm>
          <a:off x="91440" y="3666067"/>
          <a:ext cx="12779587" cy="2772833"/>
        </a:xfrm>
        <a:prstGeom prst="snip2Diag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457200</xdr:colOff>
      <xdr:row>24</xdr:row>
      <xdr:rowOff>161925</xdr:rowOff>
    </xdr:from>
    <xdr:to>
      <xdr:col>17</xdr:col>
      <xdr:colOff>581026</xdr:colOff>
      <xdr:row>35</xdr:row>
      <xdr:rowOff>19050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314D2259-D59D-4E6B-BAE8-918EC37F6F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260667" y="4429125"/>
              <a:ext cx="1461559" cy="1812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161925</xdr:colOff>
      <xdr:row>21</xdr:row>
      <xdr:rowOff>142873</xdr:rowOff>
    </xdr:from>
    <xdr:to>
      <xdr:col>15</xdr:col>
      <xdr:colOff>323850</xdr:colOff>
      <xdr:row>33</xdr:row>
      <xdr:rowOff>66675</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F458EA4B-BCBC-4919-BA49-F4CB84919E3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627658" y="3876673"/>
              <a:ext cx="1499659" cy="2057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238125</xdr:colOff>
      <xdr:row>0</xdr:row>
      <xdr:rowOff>0</xdr:rowOff>
    </xdr:from>
    <xdr:ext cx="7432675" cy="982132"/>
    <xdr:sp macro="" textlink="">
      <xdr:nvSpPr>
        <xdr:cNvPr id="10" name="Rectangle 9">
          <a:extLst>
            <a:ext uri="{FF2B5EF4-FFF2-40B4-BE49-F238E27FC236}">
              <a16:creationId xmlns:a16="http://schemas.microsoft.com/office/drawing/2014/main" id="{FDA62951-3B05-4D8A-BEEA-2D5B512565B9}"/>
            </a:ext>
          </a:extLst>
        </xdr:cNvPr>
        <xdr:cNvSpPr/>
      </xdr:nvSpPr>
      <xdr:spPr>
        <a:xfrm>
          <a:off x="238125" y="0"/>
          <a:ext cx="7432675" cy="982132"/>
        </a:xfrm>
        <a:prstGeom prst="rect">
          <a:avLst/>
        </a:prstGeom>
        <a:noFill/>
        <a:effectLst>
          <a:glow rad="88900">
            <a:schemeClr val="accent1">
              <a:satMod val="175000"/>
              <a:alpha val="33000"/>
            </a:schemeClr>
          </a:glow>
        </a:effectLst>
      </xdr:spPr>
      <xdr:txBody>
        <a:bodyPr wrap="square" lIns="91440" tIns="45720" rIns="91440" bIns="45720">
          <a:noAutofit/>
        </a:bodyPr>
        <a:lstStyle/>
        <a:p>
          <a:pPr algn="ctr"/>
          <a:r>
            <a:rPr lang="en-US" sz="5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LAPTOP</a:t>
          </a:r>
          <a:r>
            <a:rPr lang="en-US" sz="5400" b="0" cap="none" spc="0" baseline="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SHOP</a:t>
          </a:r>
          <a:endParaRPr lang="en-US" sz="54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oneCellAnchor>
  <xdr:twoCellAnchor>
    <xdr:from>
      <xdr:col>0</xdr:col>
      <xdr:colOff>213360</xdr:colOff>
      <xdr:row>6</xdr:row>
      <xdr:rowOff>3810</xdr:rowOff>
    </xdr:from>
    <xdr:to>
      <xdr:col>6</xdr:col>
      <xdr:colOff>0</xdr:colOff>
      <xdr:row>18</xdr:row>
      <xdr:rowOff>30480</xdr:rowOff>
    </xdr:to>
    <xdr:graphicFrame macro="">
      <xdr:nvGraphicFramePr>
        <xdr:cNvPr id="12" name="Chart 11">
          <a:extLst>
            <a:ext uri="{FF2B5EF4-FFF2-40B4-BE49-F238E27FC236}">
              <a16:creationId xmlns:a16="http://schemas.microsoft.com/office/drawing/2014/main" id="{A979B85E-1CAB-424C-A65F-59E23B8185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106680</xdr:colOff>
      <xdr:row>5</xdr:row>
      <xdr:rowOff>160020</xdr:rowOff>
    </xdr:from>
    <xdr:to>
      <xdr:col>11</xdr:col>
      <xdr:colOff>281940</xdr:colOff>
      <xdr:row>18</xdr:row>
      <xdr:rowOff>30480</xdr:rowOff>
    </xdr:to>
    <xdr:graphicFrame macro="">
      <xdr:nvGraphicFramePr>
        <xdr:cNvPr id="13" name="Chart 12">
          <a:extLst>
            <a:ext uri="{FF2B5EF4-FFF2-40B4-BE49-F238E27FC236}">
              <a16:creationId xmlns:a16="http://schemas.microsoft.com/office/drawing/2014/main" id="{4615AC76-78EB-4E1E-A719-A1843A716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182880</xdr:colOff>
      <xdr:row>21</xdr:row>
      <xdr:rowOff>76200</xdr:rowOff>
    </xdr:from>
    <xdr:to>
      <xdr:col>6</xdr:col>
      <xdr:colOff>480060</xdr:colOff>
      <xdr:row>33</xdr:row>
      <xdr:rowOff>91440</xdr:rowOff>
    </xdr:to>
    <xdr:graphicFrame macro="">
      <xdr:nvGraphicFramePr>
        <xdr:cNvPr id="14" name="Chart 13">
          <a:extLst>
            <a:ext uri="{FF2B5EF4-FFF2-40B4-BE49-F238E27FC236}">
              <a16:creationId xmlns:a16="http://schemas.microsoft.com/office/drawing/2014/main" id="{589D1D6A-BFD3-4385-9A84-D831FBC3F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761999</xdr:colOff>
      <xdr:row>5</xdr:row>
      <xdr:rowOff>156210</xdr:rowOff>
    </xdr:from>
    <xdr:to>
      <xdr:col>17</xdr:col>
      <xdr:colOff>238124</xdr:colOff>
      <xdr:row>18</xdr:row>
      <xdr:rowOff>0</xdr:rowOff>
    </xdr:to>
    <xdr:graphicFrame macro="">
      <xdr:nvGraphicFramePr>
        <xdr:cNvPr id="15" name="Chart 14">
          <a:extLst>
            <a:ext uri="{FF2B5EF4-FFF2-40B4-BE49-F238E27FC236}">
              <a16:creationId xmlns:a16="http://schemas.microsoft.com/office/drawing/2014/main" id="{5A683E9E-04E5-4FB8-ADCE-D8A835F66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685800</xdr:colOff>
      <xdr:row>21</xdr:row>
      <xdr:rowOff>83820</xdr:rowOff>
    </xdr:from>
    <xdr:to>
      <xdr:col>12</xdr:col>
      <xdr:colOff>487680</xdr:colOff>
      <xdr:row>33</xdr:row>
      <xdr:rowOff>0</xdr:rowOff>
    </xdr:to>
    <xdr:graphicFrame macro="">
      <xdr:nvGraphicFramePr>
        <xdr:cNvPr id="16" name="Chart 15">
          <a:extLst>
            <a:ext uri="{FF2B5EF4-FFF2-40B4-BE49-F238E27FC236}">
              <a16:creationId xmlns:a16="http://schemas.microsoft.com/office/drawing/2014/main" id="{9783271F-26A9-4A40-A390-29F1CD9C58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662940</xdr:colOff>
      <xdr:row>18</xdr:row>
      <xdr:rowOff>76200</xdr:rowOff>
    </xdr:from>
    <xdr:to>
      <xdr:col>5</xdr:col>
      <xdr:colOff>342900</xdr:colOff>
      <xdr:row>20</xdr:row>
      <xdr:rowOff>0</xdr:rowOff>
    </xdr:to>
    <xdr:sp macro="" textlink="">
      <xdr:nvSpPr>
        <xdr:cNvPr id="11" name="TextBox 10">
          <a:extLst>
            <a:ext uri="{FF2B5EF4-FFF2-40B4-BE49-F238E27FC236}">
              <a16:creationId xmlns:a16="http://schemas.microsoft.com/office/drawing/2014/main" id="{ED3C1D4B-52AB-4418-BC2F-68846BF449F5}"/>
            </a:ext>
          </a:extLst>
        </xdr:cNvPr>
        <xdr:cNvSpPr txBox="1"/>
      </xdr:nvSpPr>
      <xdr:spPr>
        <a:xfrm>
          <a:off x="662940" y="3368040"/>
          <a:ext cx="2933700" cy="28956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solidFill>
              <a:latin typeface="Times New Roman" panose="02020603050405020304" pitchFamily="18" charset="0"/>
              <a:cs typeface="Times New Roman" panose="02020603050405020304" pitchFamily="18" charset="0"/>
            </a:rPr>
            <a:t>Ban</a:t>
          </a:r>
          <a:r>
            <a:rPr lang="en-US" sz="1100" b="0">
              <a:solidFill>
                <a:schemeClr val="bg1"/>
              </a:solidFill>
              <a:latin typeface="Times New Roman" panose="02020603050405020304" pitchFamily="18" charset="0"/>
              <a:cs typeface="Times New Roman" panose="02020603050405020304" pitchFamily="18" charset="0"/>
            </a:rPr>
            <a:t>ds</a:t>
          </a:r>
          <a:r>
            <a:rPr lang="en-US" sz="1100" b="0" baseline="0">
              <a:solidFill>
                <a:schemeClr val="bg1"/>
              </a:solidFill>
              <a:latin typeface="Times New Roman" panose="02020603050405020304" pitchFamily="18" charset="0"/>
              <a:cs typeface="Times New Roman" panose="02020603050405020304" pitchFamily="18" charset="0"/>
            </a:rPr>
            <a:t> </a:t>
          </a:r>
          <a:r>
            <a:rPr lang="en-US" sz="1200" b="0" baseline="0">
              <a:solidFill>
                <a:schemeClr val="bg1"/>
              </a:solidFill>
              <a:latin typeface="Times New Roman" panose="02020603050405020304" pitchFamily="18" charset="0"/>
              <a:cs typeface="Times New Roman" panose="02020603050405020304" pitchFamily="18" charset="0"/>
            </a:rPr>
            <a:t>Total Unit Sold</a:t>
          </a:r>
          <a:endParaRPr lang="en-US" sz="1200" b="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209550</xdr:colOff>
      <xdr:row>18</xdr:row>
      <xdr:rowOff>38100</xdr:rowOff>
    </xdr:from>
    <xdr:to>
      <xdr:col>11</xdr:col>
      <xdr:colOff>281940</xdr:colOff>
      <xdr:row>20</xdr:row>
      <xdr:rowOff>9525</xdr:rowOff>
    </xdr:to>
    <xdr:sp macro="" textlink="">
      <xdr:nvSpPr>
        <xdr:cNvPr id="17" name="TextBox 16">
          <a:extLst>
            <a:ext uri="{FF2B5EF4-FFF2-40B4-BE49-F238E27FC236}">
              <a16:creationId xmlns:a16="http://schemas.microsoft.com/office/drawing/2014/main" id="{7E54FAB1-9757-4071-8593-58B7D93382A3}"/>
            </a:ext>
          </a:extLst>
        </xdr:cNvPr>
        <xdr:cNvSpPr txBox="1"/>
      </xdr:nvSpPr>
      <xdr:spPr>
        <a:xfrm>
          <a:off x="4152900" y="3124200"/>
          <a:ext cx="3863340" cy="31432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Times New Roman" panose="02020603050405020304" pitchFamily="18" charset="0"/>
              <a:cs typeface="Times New Roman" panose="02020603050405020304" pitchFamily="18" charset="0"/>
            </a:rPr>
            <a:t>Revenue</a:t>
          </a:r>
          <a:r>
            <a:rPr lang="en-US" sz="1100" baseline="0">
              <a:solidFill>
                <a:schemeClr val="bg1"/>
              </a:solidFill>
              <a:latin typeface="Times New Roman" panose="02020603050405020304" pitchFamily="18" charset="0"/>
              <a:cs typeface="Times New Roman" panose="02020603050405020304" pitchFamily="18" charset="0"/>
            </a:rPr>
            <a:t> Generated By Brands</a:t>
          </a:r>
          <a:endParaRPr lang="en-US" sz="11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723900</xdr:colOff>
      <xdr:row>18</xdr:row>
      <xdr:rowOff>19049</xdr:rowOff>
    </xdr:from>
    <xdr:to>
      <xdr:col>17</xdr:col>
      <xdr:colOff>228600</xdr:colOff>
      <xdr:row>20</xdr:row>
      <xdr:rowOff>9524</xdr:rowOff>
    </xdr:to>
    <xdr:sp macro="" textlink="">
      <xdr:nvSpPr>
        <xdr:cNvPr id="18" name="TextBox 17">
          <a:extLst>
            <a:ext uri="{FF2B5EF4-FFF2-40B4-BE49-F238E27FC236}">
              <a16:creationId xmlns:a16="http://schemas.microsoft.com/office/drawing/2014/main" id="{FAA8D0DE-0C86-4986-A668-C5420CA2C6D3}"/>
            </a:ext>
          </a:extLst>
        </xdr:cNvPr>
        <xdr:cNvSpPr txBox="1"/>
      </xdr:nvSpPr>
      <xdr:spPr>
        <a:xfrm>
          <a:off x="8458200" y="3105149"/>
          <a:ext cx="3905250" cy="33337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Times New Roman" panose="02020603050405020304" pitchFamily="18" charset="0"/>
              <a:cs typeface="Times New Roman" panose="02020603050405020304" pitchFamily="18" charset="0"/>
            </a:rPr>
            <a:t>Revenue by Region</a:t>
          </a:r>
        </a:p>
      </xdr:txBody>
    </xdr:sp>
    <xdr:clientData/>
  </xdr:twoCellAnchor>
  <xdr:twoCellAnchor>
    <xdr:from>
      <xdr:col>0</xdr:col>
      <xdr:colOff>617220</xdr:colOff>
      <xdr:row>33</xdr:row>
      <xdr:rowOff>142875</xdr:rowOff>
    </xdr:from>
    <xdr:to>
      <xdr:col>6</xdr:col>
      <xdr:colOff>396240</xdr:colOff>
      <xdr:row>35</xdr:row>
      <xdr:rowOff>106680</xdr:rowOff>
    </xdr:to>
    <xdr:sp macro="" textlink="">
      <xdr:nvSpPr>
        <xdr:cNvPr id="19" name="TextBox 18">
          <a:extLst>
            <a:ext uri="{FF2B5EF4-FFF2-40B4-BE49-F238E27FC236}">
              <a16:creationId xmlns:a16="http://schemas.microsoft.com/office/drawing/2014/main" id="{1FA98B7A-9A12-4772-B299-3540781C000C}"/>
            </a:ext>
          </a:extLst>
        </xdr:cNvPr>
        <xdr:cNvSpPr txBox="1"/>
      </xdr:nvSpPr>
      <xdr:spPr>
        <a:xfrm>
          <a:off x="617220" y="5800725"/>
          <a:ext cx="3722370" cy="306705"/>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Times New Roman" panose="02020603050405020304" pitchFamily="18" charset="0"/>
              <a:cs typeface="Times New Roman" panose="02020603050405020304" pitchFamily="18" charset="0"/>
            </a:rPr>
            <a:t>Month</a:t>
          </a:r>
          <a:r>
            <a:rPr lang="en-US" sz="1100" baseline="0">
              <a:solidFill>
                <a:schemeClr val="bg1"/>
              </a:solidFill>
              <a:latin typeface="Times New Roman" panose="02020603050405020304" pitchFamily="18" charset="0"/>
              <a:cs typeface="Times New Roman" panose="02020603050405020304" pitchFamily="18" charset="0"/>
            </a:rPr>
            <a:t> Wise Sales</a:t>
          </a:r>
          <a:endParaRPr lang="en-US" sz="11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822960</xdr:colOff>
      <xdr:row>33</xdr:row>
      <xdr:rowOff>129540</xdr:rowOff>
    </xdr:from>
    <xdr:to>
      <xdr:col>11</xdr:col>
      <xdr:colOff>861060</xdr:colOff>
      <xdr:row>35</xdr:row>
      <xdr:rowOff>152400</xdr:rowOff>
    </xdr:to>
    <xdr:sp macro="" textlink="">
      <xdr:nvSpPr>
        <xdr:cNvPr id="20" name="TextBox 19">
          <a:extLst>
            <a:ext uri="{FF2B5EF4-FFF2-40B4-BE49-F238E27FC236}">
              <a16:creationId xmlns:a16="http://schemas.microsoft.com/office/drawing/2014/main" id="{91C7183E-2458-4244-9BB2-9B1F1A60A364}"/>
            </a:ext>
          </a:extLst>
        </xdr:cNvPr>
        <xdr:cNvSpPr txBox="1"/>
      </xdr:nvSpPr>
      <xdr:spPr>
        <a:xfrm>
          <a:off x="4766310" y="5787390"/>
          <a:ext cx="3829050" cy="36576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bg1"/>
              </a:solidFill>
              <a:latin typeface="Times New Roman" panose="02020603050405020304" pitchFamily="18" charset="0"/>
              <a:cs typeface="Times New Roman" panose="02020603050405020304" pitchFamily="18" charset="0"/>
            </a:rPr>
            <a:t>Brands Performing Over The</a:t>
          </a:r>
          <a:r>
            <a:rPr lang="en-US" sz="1100" baseline="0">
              <a:solidFill>
                <a:schemeClr val="bg1"/>
              </a:solidFill>
              <a:latin typeface="Times New Roman" panose="02020603050405020304" pitchFamily="18" charset="0"/>
              <a:cs typeface="Times New Roman" panose="02020603050405020304" pitchFamily="18" charset="0"/>
            </a:rPr>
            <a:t> Months</a:t>
          </a:r>
          <a:endParaRPr lang="en-US" sz="11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457200</xdr:colOff>
      <xdr:row>0</xdr:row>
      <xdr:rowOff>123825</xdr:rowOff>
    </xdr:from>
    <xdr:to>
      <xdr:col>21</xdr:col>
      <xdr:colOff>19050</xdr:colOff>
      <xdr:row>4</xdr:row>
      <xdr:rowOff>85725</xdr:rowOff>
    </xdr:to>
    <xdr:sp macro="" textlink="">
      <xdr:nvSpPr>
        <xdr:cNvPr id="24" name="Rectangle: Rounded Corners 23">
          <a:extLst>
            <a:ext uri="{FF2B5EF4-FFF2-40B4-BE49-F238E27FC236}">
              <a16:creationId xmlns:a16="http://schemas.microsoft.com/office/drawing/2014/main" id="{49F65836-FE85-490D-9573-73584BF4EC1D}"/>
            </a:ext>
          </a:extLst>
        </xdr:cNvPr>
        <xdr:cNvSpPr/>
      </xdr:nvSpPr>
      <xdr:spPr>
        <a:xfrm>
          <a:off x="7448550" y="123825"/>
          <a:ext cx="7372350" cy="647700"/>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9525</xdr:colOff>
      <xdr:row>0</xdr:row>
      <xdr:rowOff>123825</xdr:rowOff>
    </xdr:from>
    <xdr:to>
      <xdr:col>13</xdr:col>
      <xdr:colOff>552450</xdr:colOff>
      <xdr:row>4</xdr:row>
      <xdr:rowOff>104775</xdr:rowOff>
    </xdr:to>
    <xdr:sp macro="" textlink="">
      <xdr:nvSpPr>
        <xdr:cNvPr id="25" name="TextBox 24">
          <a:extLst>
            <a:ext uri="{FF2B5EF4-FFF2-40B4-BE49-F238E27FC236}">
              <a16:creationId xmlns:a16="http://schemas.microsoft.com/office/drawing/2014/main" id="{BB6E742B-D14D-4E8B-84BF-2A18184261DD}"/>
            </a:ext>
          </a:extLst>
        </xdr:cNvPr>
        <xdr:cNvSpPr txBox="1"/>
      </xdr:nvSpPr>
      <xdr:spPr>
        <a:xfrm>
          <a:off x="7743825" y="123825"/>
          <a:ext cx="2276475" cy="666750"/>
        </a:xfrm>
        <a:prstGeom prst="rect">
          <a:avLst/>
        </a:prstGeom>
        <a:solidFill>
          <a:schemeClr val="accent6">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6">
                  <a:lumMod val="50000"/>
                </a:schemeClr>
              </a:solidFill>
              <a:latin typeface="Times New Roman" panose="02020603050405020304" pitchFamily="18" charset="0"/>
              <a:cs typeface="Times New Roman" panose="02020603050405020304" pitchFamily="18" charset="0"/>
            </a:rPr>
            <a:t>Total Unit Sold</a:t>
          </a:r>
        </a:p>
        <a:p>
          <a:pPr algn="ctr"/>
          <a:r>
            <a:rPr lang="en-US" sz="2400" b="1">
              <a:solidFill>
                <a:schemeClr val="accent6">
                  <a:lumMod val="50000"/>
                </a:schemeClr>
              </a:solidFill>
              <a:latin typeface="Times New Roman" panose="02020603050405020304" pitchFamily="18" charset="0"/>
              <a:cs typeface="Times New Roman" panose="02020603050405020304" pitchFamily="18" charset="0"/>
            </a:rPr>
            <a:t>572</a:t>
          </a:r>
        </a:p>
      </xdr:txBody>
    </xdr:sp>
    <xdr:clientData/>
  </xdr:twoCellAnchor>
  <xdr:twoCellAnchor>
    <xdr:from>
      <xdr:col>17</xdr:col>
      <xdr:colOff>342900</xdr:colOff>
      <xdr:row>0</xdr:row>
      <xdr:rowOff>114300</xdr:rowOff>
    </xdr:from>
    <xdr:to>
      <xdr:col>20</xdr:col>
      <xdr:colOff>554355</xdr:colOff>
      <xdr:row>4</xdr:row>
      <xdr:rowOff>123825</xdr:rowOff>
    </xdr:to>
    <xdr:sp macro="" textlink="">
      <xdr:nvSpPr>
        <xdr:cNvPr id="26" name="TextBox 25">
          <a:extLst>
            <a:ext uri="{FF2B5EF4-FFF2-40B4-BE49-F238E27FC236}">
              <a16:creationId xmlns:a16="http://schemas.microsoft.com/office/drawing/2014/main" id="{CC66B918-B094-472C-B48E-01478742DE69}"/>
            </a:ext>
          </a:extLst>
        </xdr:cNvPr>
        <xdr:cNvSpPr txBox="1"/>
      </xdr:nvSpPr>
      <xdr:spPr>
        <a:xfrm>
          <a:off x="12477750" y="114300"/>
          <a:ext cx="2211705" cy="695325"/>
        </a:xfrm>
        <a:prstGeom prst="rect">
          <a:avLst/>
        </a:prstGeom>
        <a:solidFill>
          <a:schemeClr val="accent3">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600">
            <a:latin typeface="Times New Roman" panose="02020603050405020304" pitchFamily="18" charset="0"/>
            <a:cs typeface="Times New Roman" panose="02020603050405020304" pitchFamily="18" charset="0"/>
          </a:endParaRPr>
        </a:p>
        <a:p>
          <a:pPr algn="ctr"/>
          <a:r>
            <a:rPr lang="en-US" sz="2400" b="1">
              <a:solidFill>
                <a:schemeClr val="accent3">
                  <a:lumMod val="50000"/>
                </a:schemeClr>
              </a:solidFill>
              <a:latin typeface="Times New Roman" panose="02020603050405020304" pitchFamily="18" charset="0"/>
              <a:cs typeface="Times New Roman" panose="02020603050405020304" pitchFamily="18" charset="0"/>
            </a:rPr>
            <a:t>Acer</a:t>
          </a:r>
        </a:p>
      </xdr:txBody>
    </xdr:sp>
    <xdr:clientData/>
  </xdr:twoCellAnchor>
  <xdr:twoCellAnchor>
    <xdr:from>
      <xdr:col>13</xdr:col>
      <xdr:colOff>649605</xdr:colOff>
      <xdr:row>0</xdr:row>
      <xdr:rowOff>104776</xdr:rowOff>
    </xdr:from>
    <xdr:to>
      <xdr:col>17</xdr:col>
      <xdr:colOff>257175</xdr:colOff>
      <xdr:row>4</xdr:row>
      <xdr:rowOff>114300</xdr:rowOff>
    </xdr:to>
    <xdr:sp macro="" textlink="">
      <xdr:nvSpPr>
        <xdr:cNvPr id="27" name="TextBox 26">
          <a:extLst>
            <a:ext uri="{FF2B5EF4-FFF2-40B4-BE49-F238E27FC236}">
              <a16:creationId xmlns:a16="http://schemas.microsoft.com/office/drawing/2014/main" id="{BA884620-7064-43D0-89C3-1DA90D1676E7}"/>
            </a:ext>
          </a:extLst>
        </xdr:cNvPr>
        <xdr:cNvSpPr txBox="1"/>
      </xdr:nvSpPr>
      <xdr:spPr>
        <a:xfrm>
          <a:off x="10117455" y="104776"/>
          <a:ext cx="2274570" cy="695324"/>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600" b="0" i="0" u="none" strike="noStrike">
            <a:solidFill>
              <a:schemeClr val="dk1"/>
            </a:solidFill>
            <a:effectLst/>
            <a:latin typeface="Times New Roman" panose="02020603050405020304" pitchFamily="18" charset="0"/>
            <a:ea typeface="+mn-ea"/>
            <a:cs typeface="Times New Roman" panose="02020603050405020304" pitchFamily="18" charset="0"/>
          </a:endParaRPr>
        </a:p>
        <a:p>
          <a:pPr algn="ctr"/>
          <a:r>
            <a:rPr lang="en-US" sz="2400" b="1" i="0" u="none" strike="noStrike">
              <a:solidFill>
                <a:schemeClr val="accent4">
                  <a:lumMod val="75000"/>
                </a:schemeClr>
              </a:solidFill>
              <a:effectLst/>
              <a:latin typeface="Times New Roman" panose="02020603050405020304" pitchFamily="18" charset="0"/>
              <a:ea typeface="+mn-ea"/>
              <a:cs typeface="Times New Roman" panose="02020603050405020304" pitchFamily="18" charset="0"/>
            </a:rPr>
            <a:t>36946973</a:t>
          </a:r>
          <a:r>
            <a:rPr lang="en-US" sz="2400" b="1">
              <a:solidFill>
                <a:schemeClr val="accent4">
                  <a:lumMod val="75000"/>
                </a:schemeClr>
              </a:solidFill>
              <a:latin typeface="Times New Roman" panose="02020603050405020304" pitchFamily="18" charset="0"/>
              <a:cs typeface="Times New Roman" panose="02020603050405020304" pitchFamily="18" charset="0"/>
            </a:rPr>
            <a:t> </a:t>
          </a:r>
        </a:p>
      </xdr:txBody>
    </xdr:sp>
    <xdr:clientData/>
  </xdr:twoCellAnchor>
  <xdr:oneCellAnchor>
    <xdr:from>
      <xdr:col>17</xdr:col>
      <xdr:colOff>594584</xdr:colOff>
      <xdr:row>0</xdr:row>
      <xdr:rowOff>104775</xdr:rowOff>
    </xdr:from>
    <xdr:ext cx="1843816" cy="419100"/>
    <xdr:sp macro="" textlink="">
      <xdr:nvSpPr>
        <xdr:cNvPr id="28" name="Rectangle 27">
          <a:extLst>
            <a:ext uri="{FF2B5EF4-FFF2-40B4-BE49-F238E27FC236}">
              <a16:creationId xmlns:a16="http://schemas.microsoft.com/office/drawing/2014/main" id="{9BEEAE8D-7B42-43FA-B397-FB31D6D62E84}"/>
            </a:ext>
          </a:extLst>
        </xdr:cNvPr>
        <xdr:cNvSpPr/>
      </xdr:nvSpPr>
      <xdr:spPr>
        <a:xfrm>
          <a:off x="12729434" y="104775"/>
          <a:ext cx="1843816" cy="419100"/>
        </a:xfrm>
        <a:prstGeom prst="rect">
          <a:avLst/>
        </a:prstGeom>
        <a:noFill/>
      </xdr:spPr>
      <xdr:txBody>
        <a:bodyPr wrap="square" lIns="91440" tIns="45720" rIns="91440" bIns="45720">
          <a:noAutofit/>
        </a:bodyPr>
        <a:lstStyle/>
        <a:p>
          <a:pPr algn="ctr"/>
          <a:r>
            <a:rPr lang="en-US" sz="1600" b="0" cap="none" spc="0">
              <a:ln w="0"/>
              <a:solidFill>
                <a:schemeClr val="accent3">
                  <a:lumMod val="50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a:t>
          </a:r>
          <a:r>
            <a:rPr lang="en-US" sz="1600" b="0" cap="none" spc="0" baseline="0">
              <a:ln w="0"/>
              <a:solidFill>
                <a:schemeClr val="accent3">
                  <a:lumMod val="50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t>
          </a:r>
          <a:r>
            <a:rPr lang="en-US" sz="1600" b="0" cap="none" spc="0">
              <a:ln w="0"/>
              <a:solidFill>
                <a:schemeClr val="accent3">
                  <a:lumMod val="50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Brand</a:t>
          </a:r>
          <a:endParaRPr lang="en-US" sz="1600" b="0" cap="none" spc="0">
            <a:ln w="0"/>
            <a:solidFill>
              <a:schemeClr val="accent3">
                <a:lumMod val="50000"/>
              </a:schemeClr>
            </a:solidFill>
            <a:effectLst>
              <a:outerShdw blurRad="38100" dist="19050" dir="2700000" algn="tl" rotWithShape="0">
                <a:schemeClr val="dk1">
                  <a:alpha val="40000"/>
                </a:schemeClr>
              </a:outerShdw>
            </a:effectLst>
          </a:endParaRPr>
        </a:p>
      </xdr:txBody>
    </xdr:sp>
    <xdr:clientData/>
  </xdr:oneCellAnchor>
  <xdr:oneCellAnchor>
    <xdr:from>
      <xdr:col>14</xdr:col>
      <xdr:colOff>115716</xdr:colOff>
      <xdr:row>0</xdr:row>
      <xdr:rowOff>58998</xdr:rowOff>
    </xdr:from>
    <xdr:ext cx="2075034" cy="398202"/>
    <xdr:sp macro="" textlink="">
      <xdr:nvSpPr>
        <xdr:cNvPr id="29" name="Rectangle 28">
          <a:extLst>
            <a:ext uri="{FF2B5EF4-FFF2-40B4-BE49-F238E27FC236}">
              <a16:creationId xmlns:a16="http://schemas.microsoft.com/office/drawing/2014/main" id="{9F9CC7CD-C63B-4EF3-8548-E4A06D2486C0}"/>
            </a:ext>
          </a:extLst>
        </xdr:cNvPr>
        <xdr:cNvSpPr/>
      </xdr:nvSpPr>
      <xdr:spPr>
        <a:xfrm>
          <a:off x="10250316" y="58998"/>
          <a:ext cx="2075034" cy="398202"/>
        </a:xfrm>
        <a:prstGeom prst="rect">
          <a:avLst/>
        </a:prstGeom>
        <a:noFill/>
      </xdr:spPr>
      <xdr:txBody>
        <a:bodyPr wrap="square" lIns="91440" tIns="45720" rIns="91440" bIns="45720" anchor="ctr">
          <a:noAutofit/>
        </a:bodyPr>
        <a:lstStyle/>
        <a:p>
          <a:pPr algn="ctr"/>
          <a:r>
            <a:rPr lang="en-US" sz="1600" b="0" cap="none" spc="0">
              <a:ln w="0"/>
              <a:solidFill>
                <a:schemeClr val="accent4">
                  <a:lumMod val="75000"/>
                </a:schemeClr>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Total Revenue</a:t>
          </a:r>
          <a:endParaRPr lang="en-US" sz="1600" b="0" cap="none" spc="0">
            <a:ln w="0"/>
            <a:solidFill>
              <a:schemeClr val="accent4">
                <a:lumMod val="75000"/>
              </a:schemeClr>
            </a:solidFill>
            <a:effectLst>
              <a:outerShdw blurRad="38100" dist="19050" dir="2700000" algn="tl" rotWithShape="0">
                <a:schemeClr val="dk1">
                  <a:alpha val="40000"/>
                </a:schemeClr>
              </a:outerShdw>
            </a:effectLst>
          </a:endParaRPr>
        </a:p>
      </xdr:txBody>
    </xdr:sp>
    <xdr:clientData/>
  </xdr:oneCellAnchor>
  <xdr:twoCellAnchor>
    <xdr:from>
      <xdr:col>18</xdr:col>
      <xdr:colOff>257175</xdr:colOff>
      <xdr:row>15</xdr:row>
      <xdr:rowOff>19051</xdr:rowOff>
    </xdr:from>
    <xdr:to>
      <xdr:col>21</xdr:col>
      <xdr:colOff>66675</xdr:colOff>
      <xdr:row>20</xdr:row>
      <xdr:rowOff>28575</xdr:rowOff>
    </xdr:to>
    <xdr:sp macro="" textlink="">
      <xdr:nvSpPr>
        <xdr:cNvPr id="31" name="TextBox 30">
          <a:extLst>
            <a:ext uri="{FF2B5EF4-FFF2-40B4-BE49-F238E27FC236}">
              <a16:creationId xmlns:a16="http://schemas.microsoft.com/office/drawing/2014/main" id="{245F4DF6-C4BC-4473-88A2-C944074D1501}"/>
            </a:ext>
          </a:extLst>
        </xdr:cNvPr>
        <xdr:cNvSpPr txBox="1"/>
      </xdr:nvSpPr>
      <xdr:spPr>
        <a:xfrm>
          <a:off x="13058775" y="2590801"/>
          <a:ext cx="1809750" cy="866774"/>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accent3">
                  <a:lumMod val="40000"/>
                  <a:lumOff val="60000"/>
                </a:schemeClr>
              </a:solidFill>
              <a:latin typeface="Times New Roman" panose="02020603050405020304" pitchFamily="18" charset="0"/>
              <a:cs typeface="Times New Roman" panose="02020603050405020304" pitchFamily="18" charset="0"/>
            </a:rPr>
            <a:t>Top Performance</a:t>
          </a:r>
        </a:p>
        <a:p>
          <a:pPr algn="ctr"/>
          <a:r>
            <a:rPr lang="en-US" sz="2400" b="1">
              <a:solidFill>
                <a:schemeClr val="accent3">
                  <a:lumMod val="40000"/>
                  <a:lumOff val="60000"/>
                </a:schemeClr>
              </a:solidFill>
              <a:latin typeface="Times New Roman" panose="02020603050405020304" pitchFamily="18" charset="0"/>
              <a:cs typeface="Times New Roman" panose="02020603050405020304" pitchFamily="18" charset="0"/>
            </a:rPr>
            <a:t>ACER</a:t>
          </a:r>
        </a:p>
      </xdr:txBody>
    </xdr:sp>
    <xdr:clientData/>
  </xdr:twoCellAnchor>
  <xdr:twoCellAnchor>
    <xdr:from>
      <xdr:col>18</xdr:col>
      <xdr:colOff>228600</xdr:colOff>
      <xdr:row>30</xdr:row>
      <xdr:rowOff>133350</xdr:rowOff>
    </xdr:from>
    <xdr:to>
      <xdr:col>21</xdr:col>
      <xdr:colOff>152400</xdr:colOff>
      <xdr:row>35</xdr:row>
      <xdr:rowOff>152399</xdr:rowOff>
    </xdr:to>
    <xdr:sp macro="" textlink="">
      <xdr:nvSpPr>
        <xdr:cNvPr id="32" name="TextBox 31">
          <a:extLst>
            <a:ext uri="{FF2B5EF4-FFF2-40B4-BE49-F238E27FC236}">
              <a16:creationId xmlns:a16="http://schemas.microsoft.com/office/drawing/2014/main" id="{0580DD3F-A290-4CC5-A9B4-65482A5BDA0E}"/>
            </a:ext>
          </a:extLst>
        </xdr:cNvPr>
        <xdr:cNvSpPr txBox="1"/>
      </xdr:nvSpPr>
      <xdr:spPr>
        <a:xfrm>
          <a:off x="13030200" y="5276850"/>
          <a:ext cx="1924050" cy="876299"/>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rgbClr val="FF4747"/>
              </a:solidFill>
              <a:latin typeface="Times New Roman" panose="02020603050405020304" pitchFamily="18" charset="0"/>
              <a:cs typeface="Times New Roman" panose="02020603050405020304" pitchFamily="18" charset="0"/>
            </a:rPr>
            <a:t>Poor Perf</a:t>
          </a:r>
          <a:r>
            <a:rPr lang="en-US" sz="1800">
              <a:solidFill>
                <a:srgbClr val="FF4747"/>
              </a:solidFill>
              <a:latin typeface="Times New Roman" panose="02020603050405020304" pitchFamily="18" charset="0"/>
              <a:cs typeface="Times New Roman" panose="02020603050405020304" pitchFamily="18" charset="0"/>
            </a:rPr>
            <a:t>ormance</a:t>
          </a:r>
        </a:p>
        <a:p>
          <a:pPr algn="ctr"/>
          <a:r>
            <a:rPr lang="en-US" sz="2400" b="1">
              <a:solidFill>
                <a:srgbClr val="FF4747"/>
              </a:solidFill>
              <a:latin typeface="Times New Roman" panose="02020603050405020304" pitchFamily="18" charset="0"/>
              <a:cs typeface="Times New Roman" panose="02020603050405020304" pitchFamily="18" charset="0"/>
            </a:rPr>
            <a:t>ASUS</a:t>
          </a:r>
        </a:p>
      </xdr:txBody>
    </xdr:sp>
    <xdr:clientData/>
  </xdr:twoCellAnchor>
  <xdr:twoCellAnchor editAs="oneCell">
    <xdr:from>
      <xdr:col>18</xdr:col>
      <xdr:colOff>609600</xdr:colOff>
      <xdr:row>7</xdr:row>
      <xdr:rowOff>161924</xdr:rowOff>
    </xdr:from>
    <xdr:to>
      <xdr:col>20</xdr:col>
      <xdr:colOff>400049</xdr:colOff>
      <xdr:row>15</xdr:row>
      <xdr:rowOff>9525</xdr:rowOff>
    </xdr:to>
    <xdr:pic>
      <xdr:nvPicPr>
        <xdr:cNvPr id="34" name="Graphic 33" descr="Trophy">
          <a:extLst>
            <a:ext uri="{FF2B5EF4-FFF2-40B4-BE49-F238E27FC236}">
              <a16:creationId xmlns:a16="http://schemas.microsoft.com/office/drawing/2014/main" id="{7337DEBA-B83D-4F7A-BE70-5C576A9CC3F8}"/>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3411200" y="1362074"/>
          <a:ext cx="1123949" cy="1219201"/>
        </a:xfrm>
        <a:prstGeom prst="rect">
          <a:avLst/>
        </a:prstGeom>
      </xdr:spPr>
    </xdr:pic>
    <xdr:clientData/>
  </xdr:twoCellAnchor>
  <xdr:twoCellAnchor editAs="oneCell">
    <xdr:from>
      <xdr:col>18</xdr:col>
      <xdr:colOff>628651</xdr:colOff>
      <xdr:row>23</xdr:row>
      <xdr:rowOff>38100</xdr:rowOff>
    </xdr:from>
    <xdr:to>
      <xdr:col>20</xdr:col>
      <xdr:colOff>485775</xdr:colOff>
      <xdr:row>30</xdr:row>
      <xdr:rowOff>76200</xdr:rowOff>
    </xdr:to>
    <xdr:pic>
      <xdr:nvPicPr>
        <xdr:cNvPr id="40" name="Graphic 39" descr="Bar graph with downward trend">
          <a:extLst>
            <a:ext uri="{FF2B5EF4-FFF2-40B4-BE49-F238E27FC236}">
              <a16:creationId xmlns:a16="http://schemas.microsoft.com/office/drawing/2014/main" id="{7EC13B9C-3410-4640-B6E3-1B09B76EEDC1}"/>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3430251" y="3981450"/>
          <a:ext cx="1190624" cy="1238250"/>
        </a:xfrm>
        <a:prstGeom prst="rect">
          <a:avLst/>
        </a:prstGeom>
      </xdr:spPr>
    </xdr:pic>
    <xdr:clientData/>
  </xdr:twoCellAnchor>
  <xdr:twoCellAnchor editAs="oneCell">
    <xdr:from>
      <xdr:col>0</xdr:col>
      <xdr:colOff>657226</xdr:colOff>
      <xdr:row>0</xdr:row>
      <xdr:rowOff>133350</xdr:rowOff>
    </xdr:from>
    <xdr:to>
      <xdr:col>1</xdr:col>
      <xdr:colOff>526188</xdr:colOff>
      <xdr:row>5</xdr:row>
      <xdr:rowOff>0</xdr:rowOff>
    </xdr:to>
    <xdr:pic>
      <xdr:nvPicPr>
        <xdr:cNvPr id="43" name="Graphic 42" descr="Laptop">
          <a:extLst>
            <a:ext uri="{FF2B5EF4-FFF2-40B4-BE49-F238E27FC236}">
              <a16:creationId xmlns:a16="http://schemas.microsoft.com/office/drawing/2014/main" id="{8C77947E-4374-4796-880E-C7B089E86BD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57226" y="133350"/>
          <a:ext cx="764312" cy="7239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13" refreshedDate="45866.663360069448" createdVersion="7" refreshedVersion="7" minRefreshableVersion="3" recordCount="200" xr:uid="{3154E0E5-0E5E-4273-A743-5E1FA2143C5F}">
  <cacheSource type="worksheet">
    <worksheetSource name="Table1"/>
  </cacheSource>
  <cacheFields count="11">
    <cacheField name="Invoice No" numFmtId="0">
      <sharedItems/>
    </cacheField>
    <cacheField name="Date" numFmtId="164">
      <sharedItems/>
    </cacheField>
    <cacheField name="month" numFmtId="0">
      <sharedItems containsSemiMixedTypes="0" containsString="0" containsNumber="1" containsInteger="1" minValue="1" maxValue="6" count="6">
        <n v="3"/>
        <n v="5"/>
        <n v="6"/>
        <n v="2"/>
        <n v="4"/>
        <n v="1"/>
      </sharedItems>
    </cacheField>
    <cacheField name="Region" numFmtId="0">
      <sharedItems count="5">
        <s v="South"/>
        <s v="West"/>
        <s v="North"/>
        <s v="East"/>
        <s v="Central"/>
      </sharedItems>
    </cacheField>
    <cacheField name="Brand" numFmtId="0">
      <sharedItems count="6">
        <s v="Acer"/>
        <s v="Lenovo"/>
        <s v="HP"/>
        <s v="Dell"/>
        <s v="Asus"/>
        <s v="iPad"/>
      </sharedItems>
    </cacheField>
    <cacheField name="Model" numFmtId="0">
      <sharedItems/>
    </cacheField>
    <cacheField name="Quantity Sold" numFmtId="0">
      <sharedItems containsSemiMixedTypes="0" containsString="0" containsNumber="1" containsInteger="1" minValue="1" maxValue="5"/>
    </cacheField>
    <cacheField name="Unit Price" numFmtId="0">
      <sharedItems containsSemiMixedTypes="0" containsString="0" containsNumber="1" containsInteger="1" minValue="30282" maxValue="99806"/>
    </cacheField>
    <cacheField name="Revenue" numFmtId="0">
      <sharedItems containsSemiMixedTypes="0" containsString="0" containsNumber="1" containsInteger="1" minValue="33365" maxValue="468940" count="200">
        <n v="66048"/>
        <n v="206975"/>
        <n v="192474"/>
        <n v="424935"/>
        <n v="298388"/>
        <n v="170704"/>
        <n v="185444"/>
        <n v="165609"/>
        <n v="86476"/>
        <n v="172380"/>
        <n v="124174"/>
        <n v="293925"/>
        <n v="260372"/>
        <n v="327424"/>
        <n v="322190"/>
        <n v="193568"/>
        <n v="170666"/>
        <n v="314765"/>
        <n v="223761"/>
        <n v="286836"/>
        <n v="280355"/>
        <n v="130208"/>
        <n v="201610"/>
        <n v="206572"/>
        <n v="141714"/>
        <n v="76784"/>
        <n v="39305"/>
        <n v="97391"/>
        <n v="183906"/>
        <n v="305752"/>
        <n v="37944"/>
        <n v="444000"/>
        <n v="88082"/>
        <n v="166538"/>
        <n v="121128"/>
        <n v="468940"/>
        <n v="189945"/>
        <n v="74910"/>
        <n v="165846"/>
        <n v="394088"/>
        <n v="188616"/>
        <n v="172416"/>
        <n v="62018"/>
        <n v="297987"/>
        <n v="44029"/>
        <n v="170055"/>
        <n v="85518"/>
        <n v="153534"/>
        <n v="39862"/>
        <n v="247050"/>
        <n v="172605"/>
        <n v="201028"/>
        <n v="251892"/>
        <n v="140300"/>
        <n v="118438"/>
        <n v="228075"/>
        <n v="160215"/>
        <n v="213342"/>
        <n v="126772"/>
        <n v="73279"/>
        <n v="352690"/>
        <n v="233415"/>
        <n v="138892"/>
        <n v="288948"/>
        <n v="82228"/>
        <n v="178332"/>
        <n v="197725"/>
        <n v="379196"/>
        <n v="106106"/>
        <n v="89829"/>
        <n v="429665"/>
        <n v="132694"/>
        <n v="67450"/>
        <n v="99538"/>
        <n v="84377"/>
        <n v="170138"/>
        <n v="123088"/>
        <n v="294530"/>
        <n v="296228"/>
        <n v="167670"/>
        <n v="191144"/>
        <n v="179196"/>
        <n v="91644"/>
        <n v="35276"/>
        <n v="93088"/>
        <n v="235053"/>
        <n v="33365"/>
        <n v="79922"/>
        <n v="35383"/>
        <n v="94974"/>
        <n v="200208"/>
        <n v="363724"/>
        <n v="267261"/>
        <n v="290400"/>
        <n v="198633"/>
        <n v="376152"/>
        <n v="354972"/>
        <n v="140270"/>
        <n v="257313"/>
        <n v="180651"/>
        <n v="110210"/>
        <n v="179448"/>
        <n v="131908"/>
        <n v="173784"/>
        <n v="162492"/>
        <n v="158840"/>
        <n v="62530"/>
        <n v="352112"/>
        <n v="43006"/>
        <n v="79676"/>
        <n v="272700"/>
        <n v="60595"/>
        <n v="297330"/>
        <n v="140638"/>
        <n v="248271"/>
        <n v="176120"/>
        <n v="65438"/>
        <n v="439815"/>
        <n v="91605"/>
        <n v="146456"/>
        <n v="166168"/>
        <n v="90552"/>
        <n v="147056"/>
        <n v="183660"/>
        <n v="83476"/>
        <n v="190646"/>
        <n v="247784"/>
        <n v="239460"/>
        <n v="67072"/>
        <n v="467415"/>
        <n v="122600"/>
        <n v="319872"/>
        <n v="367575"/>
        <n v="167472"/>
        <n v="410490"/>
        <n v="138820"/>
        <n v="86881"/>
        <n v="36028"/>
        <n v="124014"/>
        <n v="80140"/>
        <n v="270708"/>
        <n v="79362"/>
        <n v="269634"/>
        <n v="308196"/>
        <n v="263904"/>
        <n v="270048"/>
        <n v="314250"/>
        <n v="70492"/>
        <n v="68680"/>
        <n v="298737"/>
        <n v="135285"/>
        <n v="311768"/>
        <n v="313244"/>
        <n v="60647"/>
        <n v="90852"/>
        <n v="34877"/>
        <n v="161880"/>
        <n v="168758"/>
        <n v="175431"/>
        <n v="231036"/>
        <n v="57801"/>
        <n v="113792"/>
        <n v="60742"/>
        <n v="47275"/>
        <n v="110604"/>
        <n v="355024"/>
        <n v="71366"/>
        <n v="92781"/>
        <n v="158528"/>
        <n v="217866"/>
        <n v="431935"/>
        <n v="168478"/>
        <n v="257808"/>
        <n v="41957"/>
        <n v="141162"/>
        <n v="305384"/>
        <n v="228270"/>
        <n v="237568"/>
        <n v="298215"/>
        <n v="101382"/>
        <n v="53777"/>
        <n v="42026"/>
        <n v="157006"/>
        <n v="73044"/>
        <n v="351756"/>
        <n v="67125"/>
        <n v="148720"/>
        <n v="219021"/>
        <n v="399224"/>
        <n v="87176"/>
        <n v="415040"/>
        <n v="157581"/>
        <n v="61891"/>
        <n v="177123"/>
        <n v="151586"/>
        <n v="105480"/>
        <n v="363244"/>
        <n v="175280"/>
        <n v="76129"/>
        <n v="78331"/>
      </sharedItems>
    </cacheField>
    <cacheField name="Sales Rep" numFmtId="0">
      <sharedItems/>
    </cacheField>
    <cacheField name="Customer Type" numFmtId="0">
      <sharedItems/>
    </cacheField>
  </cacheFields>
  <extLst>
    <ext xmlns:x14="http://schemas.microsoft.com/office/spreadsheetml/2009/9/main" uri="{725AE2AE-9491-48be-B2B4-4EB974FC3084}">
      <x14:pivotCacheDefinition pivotCacheId="162806583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13" refreshedDate="45866.686591435187" createdVersion="7" refreshedVersion="7" minRefreshableVersion="3" recordCount="201" xr:uid="{4D2E21FE-A60D-4DBC-B781-F3333E449837}">
  <cacheSource type="worksheet">
    <worksheetSource ref="A1:L1048576" sheet="Sheet1"/>
  </cacheSource>
  <cacheFields count="12">
    <cacheField name="Invoice No" numFmtId="0">
      <sharedItems containsBlank="1"/>
    </cacheField>
    <cacheField name="Date" numFmtId="165">
      <sharedItems containsNonDate="0" containsDate="1" containsString="0" containsBlank="1" minDate="2024-03-03T00:00:00" maxDate="2024-09-19T00:00:00"/>
    </cacheField>
    <cacheField name="month" numFmtId="0">
      <sharedItems containsString="0" containsBlank="1" containsNumber="1" containsInteger="1" minValue="3" maxValue="9"/>
    </cacheField>
    <cacheField name="Region" numFmtId="0">
      <sharedItems containsBlank="1"/>
    </cacheField>
    <cacheField name="Brand" numFmtId="0">
      <sharedItems containsBlank="1" count="7">
        <s v="Acer"/>
        <s v="Lenovo"/>
        <s v="HP"/>
        <s v="Dell"/>
        <s v="Asus"/>
        <s v="iPad"/>
        <m/>
      </sharedItems>
    </cacheField>
    <cacheField name="Model" numFmtId="0">
      <sharedItems containsBlank="1"/>
    </cacheField>
    <cacheField name="Quantity Sold" numFmtId="0">
      <sharedItems containsString="0" containsBlank="1" containsNumber="1" containsInteger="1" minValue="1" maxValue="5"/>
    </cacheField>
    <cacheField name="Unit Price" numFmtId="0">
      <sharedItems containsString="0" containsBlank="1" containsNumber="1" containsInteger="1" minValue="30282" maxValue="99806"/>
    </cacheField>
    <cacheField name="Revenue" numFmtId="0">
      <sharedItems containsString="0" containsBlank="1" containsNumber="1" containsInteger="1" minValue="33365" maxValue="468940"/>
    </cacheField>
    <cacheField name="avg" numFmtId="0">
      <sharedItems containsString="0" containsBlank="1" containsNumber="1" minValue="16683" maxValue="234472.5"/>
    </cacheField>
    <cacheField name="Sales Rep" numFmtId="0">
      <sharedItems containsBlank="1"/>
    </cacheField>
    <cacheField name="Customer Type"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91913" refreshedDate="45866.960262962966" createdVersion="7" refreshedVersion="7" minRefreshableVersion="3" recordCount="200" xr:uid="{4F247E61-7E8B-4EC8-854F-9693EEDBB200}">
  <cacheSource type="worksheet">
    <worksheetSource ref="A1:L201" sheet="Sheet1"/>
  </cacheSource>
  <cacheFields count="12">
    <cacheField name="Invoice No" numFmtId="0">
      <sharedItems/>
    </cacheField>
    <cacheField name="Date" numFmtId="165">
      <sharedItems containsSemiMixedTypes="0" containsNonDate="0" containsDate="1" containsString="0" minDate="2024-03-03T00:00:00" maxDate="2024-09-19T00:00:00"/>
    </cacheField>
    <cacheField name="month" numFmtId="0">
      <sharedItems containsSemiMixedTypes="0" containsString="0" containsNumber="1" containsInteger="1" minValue="3" maxValue="9"/>
    </cacheField>
    <cacheField name="Region" numFmtId="0">
      <sharedItems count="5">
        <s v="South"/>
        <s v="West"/>
        <s v="North"/>
        <s v="East"/>
        <s v="Central"/>
      </sharedItems>
    </cacheField>
    <cacheField name="Brand" numFmtId="0">
      <sharedItems count="6">
        <s v="Acer"/>
        <s v="Lenovo"/>
        <s v="HP"/>
        <s v="Dell"/>
        <s v="Asus"/>
        <s v="iPad"/>
      </sharedItems>
    </cacheField>
    <cacheField name="Model" numFmtId="0">
      <sharedItems/>
    </cacheField>
    <cacheField name="Quantity Sold" numFmtId="0">
      <sharedItems containsSemiMixedTypes="0" containsString="0" containsNumber="1" containsInteger="1" minValue="1" maxValue="5"/>
    </cacheField>
    <cacheField name="Unit Price" numFmtId="0">
      <sharedItems containsSemiMixedTypes="0" containsString="0" containsNumber="1" containsInteger="1" minValue="30282" maxValue="99806"/>
    </cacheField>
    <cacheField name="Revenue" numFmtId="0">
      <sharedItems containsSemiMixedTypes="0" containsString="0" containsNumber="1" containsInteger="1" minValue="33365" maxValue="468940"/>
    </cacheField>
    <cacheField name="avg" numFmtId="0">
      <sharedItems containsSemiMixedTypes="0" containsString="0" containsNumber="1" minValue="16683" maxValue="234472.5"/>
    </cacheField>
    <cacheField name="Sales Rep" numFmtId="0">
      <sharedItems/>
    </cacheField>
    <cacheField name="Customer Type" numFmtId="0">
      <sharedItems/>
    </cacheField>
  </cacheFields>
  <extLst>
    <ext xmlns:x14="http://schemas.microsoft.com/office/spreadsheetml/2009/9/main" uri="{725AE2AE-9491-48be-B2B4-4EB974FC3084}">
      <x14:pivotCacheDefinition pivotCacheId="18867610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INV0001"/>
    <s v="2024-03-03"/>
    <x v="0"/>
    <x v="0"/>
    <x v="0"/>
    <s v="Aspire 5"/>
    <n v="1"/>
    <n v="66048"/>
    <x v="0"/>
    <s v="Bob"/>
    <s v="Retail"/>
  </r>
  <r>
    <s v="INV0002"/>
    <s v="2024-05-31"/>
    <x v="1"/>
    <x v="1"/>
    <x v="0"/>
    <s v="Swift 3"/>
    <n v="5"/>
    <n v="41395"/>
    <x v="1"/>
    <s v="Alice"/>
    <s v="Retail"/>
  </r>
  <r>
    <s v="INV0003"/>
    <s v="2024-06-03"/>
    <x v="2"/>
    <x v="2"/>
    <x v="1"/>
    <s v="ThinkPad X1"/>
    <n v="2"/>
    <n v="96237"/>
    <x v="2"/>
    <s v="Eva"/>
    <s v="Retail"/>
  </r>
  <r>
    <s v="INV0004"/>
    <s v="2024-02-26"/>
    <x v="3"/>
    <x v="1"/>
    <x v="0"/>
    <s v="Swift 3"/>
    <n v="5"/>
    <n v="84987"/>
    <x v="3"/>
    <s v="Eva"/>
    <s v="Corporate"/>
  </r>
  <r>
    <s v="INV0005"/>
    <s v="2024-03-12"/>
    <x v="0"/>
    <x v="0"/>
    <x v="1"/>
    <s v="ThinkPad X1"/>
    <n v="4"/>
    <n v="74597"/>
    <x v="4"/>
    <s v="Bob"/>
    <s v="Corporate"/>
  </r>
  <r>
    <s v="INV0006"/>
    <s v="2024-04-01"/>
    <x v="4"/>
    <x v="3"/>
    <x v="1"/>
    <s v="ThinkPad X1"/>
    <n v="4"/>
    <n v="42676"/>
    <x v="5"/>
    <s v="Eva"/>
    <s v="Corporate"/>
  </r>
  <r>
    <s v="INV0007"/>
    <s v="2024-04-06"/>
    <x v="4"/>
    <x v="2"/>
    <x v="1"/>
    <s v="Legion 5"/>
    <n v="4"/>
    <n v="46361"/>
    <x v="6"/>
    <s v="Eva"/>
    <s v="Corporate"/>
  </r>
  <r>
    <s v="INV0008"/>
    <s v="2024-06-29"/>
    <x v="2"/>
    <x v="2"/>
    <x v="0"/>
    <s v="Swift 3"/>
    <n v="3"/>
    <n v="55203"/>
    <x v="7"/>
    <s v="Alice"/>
    <s v="Retail"/>
  </r>
  <r>
    <s v="INV0009"/>
    <s v="2024-04-07"/>
    <x v="4"/>
    <x v="3"/>
    <x v="2"/>
    <s v="Pavilion"/>
    <n v="2"/>
    <n v="43238"/>
    <x v="8"/>
    <s v="David"/>
    <s v="Corporate"/>
  </r>
  <r>
    <s v="INV0010"/>
    <s v="2024-06-20"/>
    <x v="2"/>
    <x v="3"/>
    <x v="3"/>
    <s v="Inspiron 15"/>
    <n v="3"/>
    <n v="57460"/>
    <x v="9"/>
    <s v="Frank"/>
    <s v="Retail"/>
  </r>
  <r>
    <s v="INV0011"/>
    <s v="2024-02-11"/>
    <x v="3"/>
    <x v="1"/>
    <x v="4"/>
    <s v="ZenBook"/>
    <n v="2"/>
    <n v="62087"/>
    <x v="10"/>
    <s v="David"/>
    <s v="Corporate"/>
  </r>
  <r>
    <s v="INV0012"/>
    <s v="2024-06-24"/>
    <x v="2"/>
    <x v="3"/>
    <x v="0"/>
    <s v="Swift 3"/>
    <n v="5"/>
    <n v="58785"/>
    <x v="11"/>
    <s v="Alice"/>
    <s v="Retail"/>
  </r>
  <r>
    <s v="INV0013"/>
    <s v="2024-01-17"/>
    <x v="5"/>
    <x v="0"/>
    <x v="1"/>
    <s v="IdeaPad 3"/>
    <n v="4"/>
    <n v="65093"/>
    <x v="12"/>
    <s v="Eva"/>
    <s v="Corporate"/>
  </r>
  <r>
    <s v="INV0014"/>
    <s v="2024-06-13"/>
    <x v="2"/>
    <x v="1"/>
    <x v="3"/>
    <s v="G15"/>
    <n v="4"/>
    <n v="81856"/>
    <x v="13"/>
    <s v="Bob"/>
    <s v="Corporate"/>
  </r>
  <r>
    <s v="INV0015"/>
    <s v="2024-05-29"/>
    <x v="1"/>
    <x v="1"/>
    <x v="3"/>
    <s v="XPS 13"/>
    <n v="5"/>
    <n v="64438"/>
    <x v="14"/>
    <s v="Eva"/>
    <s v="Corporate"/>
  </r>
  <r>
    <s v="INV0016"/>
    <s v="2024-05-06"/>
    <x v="1"/>
    <x v="2"/>
    <x v="2"/>
    <s v="Pavilion"/>
    <n v="2"/>
    <n v="96784"/>
    <x v="15"/>
    <s v="Alice"/>
    <s v="Retail"/>
  </r>
  <r>
    <s v="INV0017"/>
    <s v="2024-06-01"/>
    <x v="2"/>
    <x v="2"/>
    <x v="3"/>
    <s v="G15"/>
    <n v="2"/>
    <n v="85333"/>
    <x v="16"/>
    <s v="David"/>
    <s v="Corporate"/>
  </r>
  <r>
    <s v="INV0018"/>
    <s v="2024-05-21"/>
    <x v="1"/>
    <x v="2"/>
    <x v="4"/>
    <s v="VivoBook"/>
    <n v="5"/>
    <n v="62953"/>
    <x v="17"/>
    <s v="Frank"/>
    <s v="Retail"/>
  </r>
  <r>
    <s v="INV0019"/>
    <s v="2024-01-29"/>
    <x v="5"/>
    <x v="3"/>
    <x v="0"/>
    <s v="Swift 3"/>
    <n v="3"/>
    <n v="74587"/>
    <x v="18"/>
    <s v="David"/>
    <s v="Retail"/>
  </r>
  <r>
    <s v="INV0020"/>
    <s v="2024-02-15"/>
    <x v="3"/>
    <x v="4"/>
    <x v="5"/>
    <s v="iPad Air"/>
    <n v="3"/>
    <n v="95612"/>
    <x v="19"/>
    <s v="Alice"/>
    <s v="Corporate"/>
  </r>
  <r>
    <s v="INV0021"/>
    <s v="2024-02-09"/>
    <x v="3"/>
    <x v="3"/>
    <x v="0"/>
    <s v="Swift 3"/>
    <n v="5"/>
    <n v="56071"/>
    <x v="20"/>
    <s v="Bob"/>
    <s v="Retail"/>
  </r>
  <r>
    <s v="INV0022"/>
    <s v="2024-01-29"/>
    <x v="5"/>
    <x v="3"/>
    <x v="4"/>
    <s v="VivoBook"/>
    <n v="4"/>
    <n v="32552"/>
    <x v="21"/>
    <s v="Charlie"/>
    <s v="Retail"/>
  </r>
  <r>
    <s v="INV0023"/>
    <s v="2024-01-22"/>
    <x v="5"/>
    <x v="1"/>
    <x v="1"/>
    <s v="ThinkPad X1"/>
    <n v="5"/>
    <n v="40322"/>
    <x v="22"/>
    <s v="Alice"/>
    <s v="Retail"/>
  </r>
  <r>
    <s v="INV0024"/>
    <s v="2024-03-08"/>
    <x v="0"/>
    <x v="4"/>
    <x v="3"/>
    <s v="G15"/>
    <n v="4"/>
    <n v="51643"/>
    <x v="23"/>
    <s v="Eva"/>
    <s v="Corporate"/>
  </r>
  <r>
    <s v="INV0025"/>
    <s v="2024-04-12"/>
    <x v="4"/>
    <x v="3"/>
    <x v="3"/>
    <s v="G15"/>
    <n v="2"/>
    <n v="70857"/>
    <x v="24"/>
    <s v="David"/>
    <s v="Corporate"/>
  </r>
  <r>
    <s v="INV0026"/>
    <s v="2024-03-27"/>
    <x v="0"/>
    <x v="2"/>
    <x v="1"/>
    <s v="ThinkPad X1"/>
    <n v="2"/>
    <n v="38392"/>
    <x v="25"/>
    <s v="Eva"/>
    <s v="Retail"/>
  </r>
  <r>
    <s v="INV0027"/>
    <s v="2024-06-10"/>
    <x v="2"/>
    <x v="2"/>
    <x v="4"/>
    <s v="ROG Zephyrus"/>
    <n v="1"/>
    <n v="39305"/>
    <x v="26"/>
    <s v="Bob"/>
    <s v="Retail"/>
  </r>
  <r>
    <s v="INV0028"/>
    <s v="2024-03-01"/>
    <x v="0"/>
    <x v="3"/>
    <x v="1"/>
    <s v="IdeaPad 3"/>
    <n v="1"/>
    <n v="97391"/>
    <x v="27"/>
    <s v="Frank"/>
    <s v="Corporate"/>
  </r>
  <r>
    <s v="INV0029"/>
    <s v="2024-03-03"/>
    <x v="0"/>
    <x v="1"/>
    <x v="3"/>
    <s v="G15"/>
    <n v="2"/>
    <n v="91953"/>
    <x v="28"/>
    <s v="David"/>
    <s v="Retail"/>
  </r>
  <r>
    <s v="INV0030"/>
    <s v="2024-04-18"/>
    <x v="4"/>
    <x v="1"/>
    <x v="1"/>
    <s v="ThinkPad X1"/>
    <n v="4"/>
    <n v="76438"/>
    <x v="29"/>
    <s v="David"/>
    <s v="Retail"/>
  </r>
  <r>
    <s v="INV0031"/>
    <s v="2024-04-13"/>
    <x v="4"/>
    <x v="3"/>
    <x v="0"/>
    <s v="Swift 3"/>
    <n v="1"/>
    <n v="37944"/>
    <x v="30"/>
    <s v="Alice"/>
    <s v="Retail"/>
  </r>
  <r>
    <s v="INV0032"/>
    <s v="2024-02-05"/>
    <x v="3"/>
    <x v="1"/>
    <x v="3"/>
    <s v="XPS 13"/>
    <n v="5"/>
    <n v="88800"/>
    <x v="31"/>
    <s v="Bob"/>
    <s v="Corporate"/>
  </r>
  <r>
    <s v="INV0033"/>
    <s v="2024-05-20"/>
    <x v="1"/>
    <x v="2"/>
    <x v="5"/>
    <s v="iPad Air"/>
    <n v="1"/>
    <n v="88082"/>
    <x v="32"/>
    <s v="Alice"/>
    <s v="Retail"/>
  </r>
  <r>
    <s v="INV0034"/>
    <s v="2024-05-04"/>
    <x v="1"/>
    <x v="1"/>
    <x v="1"/>
    <s v="ThinkPad X1"/>
    <n v="2"/>
    <n v="83269"/>
    <x v="33"/>
    <s v="Bob"/>
    <s v="Corporate"/>
  </r>
  <r>
    <s v="INV0035"/>
    <s v="2024-04-09"/>
    <x v="4"/>
    <x v="3"/>
    <x v="1"/>
    <s v="ThinkPad X1"/>
    <n v="4"/>
    <n v="30282"/>
    <x v="34"/>
    <s v="David"/>
    <s v="Corporate"/>
  </r>
  <r>
    <s v="INV0036"/>
    <s v="2024-02-09"/>
    <x v="3"/>
    <x v="0"/>
    <x v="5"/>
    <s v="iPad Mini"/>
    <n v="5"/>
    <n v="93788"/>
    <x v="35"/>
    <s v="Charlie"/>
    <s v="Retail"/>
  </r>
  <r>
    <s v="INV0037"/>
    <s v="2024-03-21"/>
    <x v="0"/>
    <x v="2"/>
    <x v="1"/>
    <s v="Legion 5"/>
    <n v="5"/>
    <n v="37989"/>
    <x v="36"/>
    <s v="Alice"/>
    <s v="Corporate"/>
  </r>
  <r>
    <s v="INV0038"/>
    <s v="2024-05-10"/>
    <x v="1"/>
    <x v="2"/>
    <x v="4"/>
    <s v="ZenBook"/>
    <n v="2"/>
    <n v="37455"/>
    <x v="37"/>
    <s v="Bob"/>
    <s v="Retail"/>
  </r>
  <r>
    <s v="INV0039"/>
    <s v="2024-01-31"/>
    <x v="5"/>
    <x v="4"/>
    <x v="4"/>
    <s v="ROG Zephyrus"/>
    <n v="2"/>
    <n v="82923"/>
    <x v="38"/>
    <s v="Bob"/>
    <s v="Retail"/>
  </r>
  <r>
    <s v="INV0040"/>
    <s v="2024-03-21"/>
    <x v="0"/>
    <x v="3"/>
    <x v="4"/>
    <s v="ROG Zephyrus"/>
    <n v="4"/>
    <n v="98522"/>
    <x v="39"/>
    <s v="Bob"/>
    <s v="Corporate"/>
  </r>
  <r>
    <s v="INV0041"/>
    <s v="2024-06-20"/>
    <x v="2"/>
    <x v="3"/>
    <x v="3"/>
    <s v="Inspiron 15"/>
    <n v="4"/>
    <n v="47154"/>
    <x v="40"/>
    <s v="David"/>
    <s v="Corporate"/>
  </r>
  <r>
    <s v="INV0042"/>
    <s v="2024-01-19"/>
    <x v="5"/>
    <x v="4"/>
    <x v="1"/>
    <s v="ThinkPad X1"/>
    <n v="4"/>
    <n v="43104"/>
    <x v="41"/>
    <s v="Bob"/>
    <s v="Corporate"/>
  </r>
  <r>
    <s v="INV0043"/>
    <s v="2024-04-04"/>
    <x v="4"/>
    <x v="3"/>
    <x v="3"/>
    <s v="Inspiron 15"/>
    <n v="1"/>
    <n v="62018"/>
    <x v="42"/>
    <s v="Bob"/>
    <s v="Corporate"/>
  </r>
  <r>
    <s v="INV0044"/>
    <s v="2024-01-03"/>
    <x v="5"/>
    <x v="4"/>
    <x v="4"/>
    <s v="ZenBook"/>
    <n v="3"/>
    <n v="99329"/>
    <x v="43"/>
    <s v="Charlie"/>
    <s v="Retail"/>
  </r>
  <r>
    <s v="INV0045"/>
    <s v="2024-05-21"/>
    <x v="1"/>
    <x v="0"/>
    <x v="3"/>
    <s v="Inspiron 15"/>
    <n v="1"/>
    <n v="44029"/>
    <x v="44"/>
    <s v="Charlie"/>
    <s v="Corporate"/>
  </r>
  <r>
    <s v="INV0046"/>
    <s v="2024-06-24"/>
    <x v="2"/>
    <x v="3"/>
    <x v="4"/>
    <s v="ROG Zephyrus"/>
    <n v="3"/>
    <n v="56685"/>
    <x v="45"/>
    <s v="Eva"/>
    <s v="Corporate"/>
  </r>
  <r>
    <s v="INV0047"/>
    <s v="2024-03-11"/>
    <x v="0"/>
    <x v="2"/>
    <x v="2"/>
    <s v="Pavilion"/>
    <n v="1"/>
    <n v="85518"/>
    <x v="46"/>
    <s v="Alice"/>
    <s v="Corporate"/>
  </r>
  <r>
    <s v="INV0048"/>
    <s v="2024-04-23"/>
    <x v="4"/>
    <x v="4"/>
    <x v="3"/>
    <s v="G15"/>
    <n v="3"/>
    <n v="51178"/>
    <x v="47"/>
    <s v="Frank"/>
    <s v="Corporate"/>
  </r>
  <r>
    <s v="INV0049"/>
    <s v="2024-06-25"/>
    <x v="2"/>
    <x v="0"/>
    <x v="4"/>
    <s v="ROG Zephyrus"/>
    <n v="1"/>
    <n v="39862"/>
    <x v="48"/>
    <s v="Eva"/>
    <s v="Retail"/>
  </r>
  <r>
    <s v="INV0050"/>
    <s v="2024-04-20"/>
    <x v="4"/>
    <x v="0"/>
    <x v="2"/>
    <s v="Spectre"/>
    <n v="5"/>
    <n v="49410"/>
    <x v="49"/>
    <s v="Alice"/>
    <s v="Corporate"/>
  </r>
  <r>
    <s v="INV0051"/>
    <s v="2024-06-23"/>
    <x v="2"/>
    <x v="0"/>
    <x v="2"/>
    <s v="Pavilion"/>
    <n v="3"/>
    <n v="57535"/>
    <x v="50"/>
    <s v="Frank"/>
    <s v="Retail"/>
  </r>
  <r>
    <s v="INV0052"/>
    <s v="2024-03-01"/>
    <x v="0"/>
    <x v="0"/>
    <x v="2"/>
    <s v="Spectre"/>
    <n v="4"/>
    <n v="50257"/>
    <x v="51"/>
    <s v="Bob"/>
    <s v="Corporate"/>
  </r>
  <r>
    <s v="INV0053"/>
    <s v="2024-06-20"/>
    <x v="2"/>
    <x v="0"/>
    <x v="1"/>
    <s v="ThinkPad X1"/>
    <n v="3"/>
    <n v="83964"/>
    <x v="52"/>
    <s v="Charlie"/>
    <s v="Retail"/>
  </r>
  <r>
    <s v="INV0054"/>
    <s v="2024-04-30"/>
    <x v="4"/>
    <x v="0"/>
    <x v="0"/>
    <s v="Aspire 5"/>
    <n v="4"/>
    <n v="35075"/>
    <x v="53"/>
    <s v="Bob"/>
    <s v="Corporate"/>
  </r>
  <r>
    <s v="INV0055"/>
    <s v="2024-01-07"/>
    <x v="5"/>
    <x v="0"/>
    <x v="2"/>
    <s v="Envy"/>
    <n v="2"/>
    <n v="59219"/>
    <x v="54"/>
    <s v="David"/>
    <s v="Corporate"/>
  </r>
  <r>
    <s v="INV0056"/>
    <s v="2024-06-13"/>
    <x v="2"/>
    <x v="4"/>
    <x v="2"/>
    <s v="Pavilion"/>
    <n v="3"/>
    <n v="76025"/>
    <x v="55"/>
    <s v="David"/>
    <s v="Corporate"/>
  </r>
  <r>
    <s v="INV0057"/>
    <s v="2024-05-28"/>
    <x v="1"/>
    <x v="3"/>
    <x v="1"/>
    <s v="ThinkPad X1"/>
    <n v="3"/>
    <n v="53405"/>
    <x v="56"/>
    <s v="Alice"/>
    <s v="Retail"/>
  </r>
  <r>
    <s v="INV0058"/>
    <s v="2024-04-21"/>
    <x v="4"/>
    <x v="4"/>
    <x v="4"/>
    <s v="VivoBook"/>
    <n v="3"/>
    <n v="71114"/>
    <x v="57"/>
    <s v="Eva"/>
    <s v="Retail"/>
  </r>
  <r>
    <s v="INV0059"/>
    <s v="2024-01-12"/>
    <x v="5"/>
    <x v="1"/>
    <x v="5"/>
    <s v="iPad Mini"/>
    <n v="2"/>
    <n v="63386"/>
    <x v="58"/>
    <s v="Alice"/>
    <s v="Retail"/>
  </r>
  <r>
    <s v="INV0060"/>
    <s v="2024-06-08"/>
    <x v="2"/>
    <x v="3"/>
    <x v="2"/>
    <s v="Envy"/>
    <n v="1"/>
    <n v="73279"/>
    <x v="59"/>
    <s v="Frank"/>
    <s v="Retail"/>
  </r>
  <r>
    <s v="INV0061"/>
    <s v="2024-06-19"/>
    <x v="2"/>
    <x v="1"/>
    <x v="0"/>
    <s v="Nitro 5"/>
    <n v="5"/>
    <n v="70538"/>
    <x v="60"/>
    <s v="Charlie"/>
    <s v="Corporate"/>
  </r>
  <r>
    <s v="INV0062"/>
    <s v="2024-02-19"/>
    <x v="3"/>
    <x v="1"/>
    <x v="0"/>
    <s v="Nitro 5"/>
    <n v="5"/>
    <n v="46683"/>
    <x v="61"/>
    <s v="Frank"/>
    <s v="Corporate"/>
  </r>
  <r>
    <s v="INV0063"/>
    <s v="2024-04-13"/>
    <x v="4"/>
    <x v="4"/>
    <x v="0"/>
    <s v="Swift 3"/>
    <n v="2"/>
    <n v="69446"/>
    <x v="62"/>
    <s v="Alice"/>
    <s v="Corporate"/>
  </r>
  <r>
    <s v="INV0064"/>
    <s v="2024-04-29"/>
    <x v="4"/>
    <x v="1"/>
    <x v="2"/>
    <s v="Pavilion"/>
    <n v="4"/>
    <n v="72237"/>
    <x v="63"/>
    <s v="David"/>
    <s v="Retail"/>
  </r>
  <r>
    <s v="INV0065"/>
    <s v="2024-03-13"/>
    <x v="0"/>
    <x v="4"/>
    <x v="4"/>
    <s v="VivoBook"/>
    <n v="2"/>
    <n v="41114"/>
    <x v="64"/>
    <s v="Frank"/>
    <s v="Corporate"/>
  </r>
  <r>
    <s v="INV0066"/>
    <s v="2024-02-20"/>
    <x v="3"/>
    <x v="0"/>
    <x v="1"/>
    <s v="ThinkPad X1"/>
    <n v="3"/>
    <n v="59444"/>
    <x v="65"/>
    <s v="Alice"/>
    <s v="Retail"/>
  </r>
  <r>
    <s v="INV0067"/>
    <s v="2024-04-26"/>
    <x v="4"/>
    <x v="1"/>
    <x v="3"/>
    <s v="Inspiron 15"/>
    <n v="5"/>
    <n v="39545"/>
    <x v="66"/>
    <s v="Frank"/>
    <s v="Retail"/>
  </r>
  <r>
    <s v="INV0068"/>
    <s v="2024-04-12"/>
    <x v="4"/>
    <x v="0"/>
    <x v="0"/>
    <s v="Swift 3"/>
    <n v="4"/>
    <n v="94799"/>
    <x v="67"/>
    <s v="Bob"/>
    <s v="Retail"/>
  </r>
  <r>
    <s v="INV0069"/>
    <s v="2024-06-27"/>
    <x v="2"/>
    <x v="4"/>
    <x v="1"/>
    <s v="IdeaPad 3"/>
    <n v="2"/>
    <n v="53053"/>
    <x v="68"/>
    <s v="David"/>
    <s v="Retail"/>
  </r>
  <r>
    <s v="INV0070"/>
    <s v="2024-02-04"/>
    <x v="3"/>
    <x v="1"/>
    <x v="4"/>
    <s v="ROG Zephyrus"/>
    <n v="1"/>
    <n v="89829"/>
    <x v="69"/>
    <s v="Frank"/>
    <s v="Corporate"/>
  </r>
  <r>
    <s v="INV0071"/>
    <s v="2024-05-20"/>
    <x v="1"/>
    <x v="1"/>
    <x v="5"/>
    <s v="iPad Mini"/>
    <n v="5"/>
    <n v="85933"/>
    <x v="70"/>
    <s v="Bob"/>
    <s v="Corporate"/>
  </r>
  <r>
    <s v="INV0072"/>
    <s v="2024-05-13"/>
    <x v="1"/>
    <x v="1"/>
    <x v="5"/>
    <s v="iPad Pro"/>
    <n v="2"/>
    <n v="66347"/>
    <x v="71"/>
    <s v="Frank"/>
    <s v="Retail"/>
  </r>
  <r>
    <s v="INV0073"/>
    <s v="2024-03-01"/>
    <x v="0"/>
    <x v="3"/>
    <x v="2"/>
    <s v="Envy"/>
    <n v="1"/>
    <n v="67450"/>
    <x v="72"/>
    <s v="Charlie"/>
    <s v="Corporate"/>
  </r>
  <r>
    <s v="INV0074"/>
    <s v="2024-02-29"/>
    <x v="3"/>
    <x v="1"/>
    <x v="4"/>
    <s v="ROG Zephyrus"/>
    <n v="2"/>
    <n v="49769"/>
    <x v="73"/>
    <s v="Frank"/>
    <s v="Retail"/>
  </r>
  <r>
    <s v="INV0075"/>
    <s v="2024-04-14"/>
    <x v="4"/>
    <x v="3"/>
    <x v="0"/>
    <s v="Aspire 5"/>
    <n v="1"/>
    <n v="84377"/>
    <x v="74"/>
    <s v="Eva"/>
    <s v="Corporate"/>
  </r>
  <r>
    <s v="INV0076"/>
    <s v="2024-04-09"/>
    <x v="4"/>
    <x v="4"/>
    <x v="5"/>
    <s v="iPad Air"/>
    <n v="2"/>
    <n v="85069"/>
    <x v="75"/>
    <s v="Frank"/>
    <s v="Retail"/>
  </r>
  <r>
    <s v="INV0077"/>
    <s v="2024-03-31"/>
    <x v="0"/>
    <x v="3"/>
    <x v="4"/>
    <s v="VivoBook"/>
    <n v="4"/>
    <n v="30772"/>
    <x v="76"/>
    <s v="David"/>
    <s v="Corporate"/>
  </r>
  <r>
    <s v="INV0078"/>
    <s v="2024-05-04"/>
    <x v="1"/>
    <x v="0"/>
    <x v="4"/>
    <s v="ZenBook"/>
    <n v="5"/>
    <n v="58906"/>
    <x v="77"/>
    <s v="Charlie"/>
    <s v="Corporate"/>
  </r>
  <r>
    <s v="INV0079"/>
    <s v="2024-06-20"/>
    <x v="2"/>
    <x v="1"/>
    <x v="5"/>
    <s v="iPad Air"/>
    <n v="4"/>
    <n v="74057"/>
    <x v="78"/>
    <s v="Frank"/>
    <s v="Retail"/>
  </r>
  <r>
    <s v="INV0080"/>
    <s v="2024-04-10"/>
    <x v="4"/>
    <x v="4"/>
    <x v="5"/>
    <s v="iPad Air"/>
    <n v="5"/>
    <n v="33534"/>
    <x v="79"/>
    <s v="Eva"/>
    <s v="Retail"/>
  </r>
  <r>
    <s v="INV0081"/>
    <s v="2024-04-28"/>
    <x v="4"/>
    <x v="0"/>
    <x v="1"/>
    <s v="Legion 5"/>
    <n v="4"/>
    <n v="47786"/>
    <x v="80"/>
    <s v="Alice"/>
    <s v="Corporate"/>
  </r>
  <r>
    <s v="INV0082"/>
    <s v="2024-03-24"/>
    <x v="0"/>
    <x v="3"/>
    <x v="5"/>
    <s v="iPad Pro"/>
    <n v="2"/>
    <n v="89598"/>
    <x v="81"/>
    <s v="David"/>
    <s v="Corporate"/>
  </r>
  <r>
    <s v="INV0083"/>
    <s v="2024-01-05"/>
    <x v="5"/>
    <x v="4"/>
    <x v="5"/>
    <s v="iPad Pro"/>
    <n v="1"/>
    <n v="91644"/>
    <x v="82"/>
    <s v="Alice"/>
    <s v="Corporate"/>
  </r>
  <r>
    <s v="INV0084"/>
    <s v="2024-01-08"/>
    <x v="5"/>
    <x v="0"/>
    <x v="3"/>
    <s v="G15"/>
    <n v="1"/>
    <n v="35276"/>
    <x v="83"/>
    <s v="Bob"/>
    <s v="Retail"/>
  </r>
  <r>
    <s v="INV0085"/>
    <s v="2024-05-01"/>
    <x v="1"/>
    <x v="2"/>
    <x v="4"/>
    <s v="ROG Zephyrus"/>
    <n v="2"/>
    <n v="46544"/>
    <x v="84"/>
    <s v="Eva"/>
    <s v="Retail"/>
  </r>
  <r>
    <s v="INV0086"/>
    <s v="2024-02-12"/>
    <x v="3"/>
    <x v="4"/>
    <x v="5"/>
    <s v="iPad Mini"/>
    <n v="3"/>
    <n v="78351"/>
    <x v="85"/>
    <s v="Eva"/>
    <s v="Retail"/>
  </r>
  <r>
    <s v="INV0087"/>
    <s v="2024-03-20"/>
    <x v="0"/>
    <x v="4"/>
    <x v="3"/>
    <s v="Inspiron 15"/>
    <n v="1"/>
    <n v="33365"/>
    <x v="86"/>
    <s v="Frank"/>
    <s v="Corporate"/>
  </r>
  <r>
    <s v="INV0088"/>
    <s v="2024-05-31"/>
    <x v="1"/>
    <x v="0"/>
    <x v="5"/>
    <s v="iPad Mini"/>
    <n v="2"/>
    <n v="39961"/>
    <x v="87"/>
    <s v="Alice"/>
    <s v="Corporate"/>
  </r>
  <r>
    <s v="INV0089"/>
    <s v="2024-03-29"/>
    <x v="0"/>
    <x v="4"/>
    <x v="0"/>
    <s v="Swift 3"/>
    <n v="1"/>
    <n v="35383"/>
    <x v="88"/>
    <s v="David"/>
    <s v="Corporate"/>
  </r>
  <r>
    <s v="INV0090"/>
    <s v="2024-04-17"/>
    <x v="4"/>
    <x v="1"/>
    <x v="1"/>
    <s v="Legion 5"/>
    <n v="3"/>
    <n v="31658"/>
    <x v="89"/>
    <s v="Alice"/>
    <s v="Corporate"/>
  </r>
  <r>
    <s v="INV0091"/>
    <s v="2024-04-21"/>
    <x v="4"/>
    <x v="0"/>
    <x v="2"/>
    <s v="Spectre"/>
    <n v="4"/>
    <n v="50052"/>
    <x v="90"/>
    <s v="Frank"/>
    <s v="Corporate"/>
  </r>
  <r>
    <s v="INV0092"/>
    <s v="2024-04-21"/>
    <x v="4"/>
    <x v="4"/>
    <x v="4"/>
    <s v="ZenBook"/>
    <n v="4"/>
    <n v="90931"/>
    <x v="91"/>
    <s v="Charlie"/>
    <s v="Corporate"/>
  </r>
  <r>
    <s v="INV0093"/>
    <s v="2024-03-03"/>
    <x v="0"/>
    <x v="1"/>
    <x v="3"/>
    <s v="XPS 13"/>
    <n v="3"/>
    <n v="89087"/>
    <x v="92"/>
    <s v="Eva"/>
    <s v="Corporate"/>
  </r>
  <r>
    <s v="INV0094"/>
    <s v="2024-02-16"/>
    <x v="3"/>
    <x v="1"/>
    <x v="2"/>
    <s v="Pavilion"/>
    <n v="4"/>
    <n v="72600"/>
    <x v="93"/>
    <s v="Bob"/>
    <s v="Corporate"/>
  </r>
  <r>
    <s v="INV0095"/>
    <s v="2024-05-22"/>
    <x v="1"/>
    <x v="2"/>
    <x v="2"/>
    <s v="Envy"/>
    <n v="3"/>
    <n v="66211"/>
    <x v="94"/>
    <s v="Eva"/>
    <s v="Retail"/>
  </r>
  <r>
    <s v="INV0096"/>
    <s v="2024-05-22"/>
    <x v="1"/>
    <x v="0"/>
    <x v="1"/>
    <s v="ThinkPad X1"/>
    <n v="4"/>
    <n v="94038"/>
    <x v="95"/>
    <s v="Frank"/>
    <s v="Corporate"/>
  </r>
  <r>
    <s v="INV0097"/>
    <s v="2024-01-05"/>
    <x v="5"/>
    <x v="2"/>
    <x v="0"/>
    <s v="Swift 3"/>
    <n v="4"/>
    <n v="88743"/>
    <x v="96"/>
    <s v="Charlie"/>
    <s v="Retail"/>
  </r>
  <r>
    <s v="INV0098"/>
    <s v="2024-06-18"/>
    <x v="2"/>
    <x v="4"/>
    <x v="5"/>
    <s v="iPad Mini"/>
    <n v="2"/>
    <n v="70135"/>
    <x v="97"/>
    <s v="Charlie"/>
    <s v="Corporate"/>
  </r>
  <r>
    <s v="INV0099"/>
    <s v="2024-05-20"/>
    <x v="1"/>
    <x v="3"/>
    <x v="4"/>
    <s v="ZenBook"/>
    <n v="3"/>
    <n v="85771"/>
    <x v="98"/>
    <s v="Charlie"/>
    <s v="Corporate"/>
  </r>
  <r>
    <s v="INV0100"/>
    <s v="2024-01-31"/>
    <x v="5"/>
    <x v="0"/>
    <x v="2"/>
    <s v="Envy"/>
    <n v="3"/>
    <n v="60217"/>
    <x v="99"/>
    <s v="Charlie"/>
    <s v="Retail"/>
  </r>
  <r>
    <s v="INV0101"/>
    <s v="2024-02-25"/>
    <x v="3"/>
    <x v="1"/>
    <x v="0"/>
    <s v="Swift 3"/>
    <n v="2"/>
    <n v="55105"/>
    <x v="100"/>
    <s v="Charlie"/>
    <s v="Corporate"/>
  </r>
  <r>
    <s v="INV0102"/>
    <s v="2024-04-02"/>
    <x v="4"/>
    <x v="0"/>
    <x v="1"/>
    <s v="ThinkPad X1"/>
    <n v="3"/>
    <n v="59816"/>
    <x v="101"/>
    <s v="Charlie"/>
    <s v="Retail"/>
  </r>
  <r>
    <s v="INV0103"/>
    <s v="2024-01-12"/>
    <x v="5"/>
    <x v="2"/>
    <x v="0"/>
    <s v="Swift 3"/>
    <n v="2"/>
    <n v="65954"/>
    <x v="102"/>
    <s v="Eva"/>
    <s v="Corporate"/>
  </r>
  <r>
    <s v="INV0104"/>
    <s v="2024-01-04"/>
    <x v="5"/>
    <x v="4"/>
    <x v="0"/>
    <s v="Aspire 5"/>
    <n v="4"/>
    <n v="43446"/>
    <x v="103"/>
    <s v="Charlie"/>
    <s v="Corporate"/>
  </r>
  <r>
    <s v="INV0105"/>
    <s v="2024-01-14"/>
    <x v="5"/>
    <x v="3"/>
    <x v="5"/>
    <s v="iPad Pro"/>
    <n v="3"/>
    <n v="54164"/>
    <x v="104"/>
    <s v="David"/>
    <s v="Retail"/>
  </r>
  <r>
    <s v="INV0106"/>
    <s v="2024-05-27"/>
    <x v="1"/>
    <x v="2"/>
    <x v="1"/>
    <s v="IdeaPad 3"/>
    <n v="4"/>
    <n v="39710"/>
    <x v="105"/>
    <s v="Bob"/>
    <s v="Retail"/>
  </r>
  <r>
    <s v="INV0107"/>
    <s v="2024-01-31"/>
    <x v="5"/>
    <x v="4"/>
    <x v="4"/>
    <s v="VivoBook"/>
    <n v="1"/>
    <n v="62530"/>
    <x v="106"/>
    <s v="David"/>
    <s v="Retail"/>
  </r>
  <r>
    <s v="INV0108"/>
    <s v="2024-03-17"/>
    <x v="0"/>
    <x v="4"/>
    <x v="4"/>
    <s v="VivoBook"/>
    <n v="4"/>
    <n v="88028"/>
    <x v="107"/>
    <s v="David"/>
    <s v="Corporate"/>
  </r>
  <r>
    <s v="INV0109"/>
    <s v="2024-02-23"/>
    <x v="3"/>
    <x v="0"/>
    <x v="4"/>
    <s v="ZenBook"/>
    <n v="1"/>
    <n v="43006"/>
    <x v="108"/>
    <s v="Charlie"/>
    <s v="Retail"/>
  </r>
  <r>
    <s v="INV0110"/>
    <s v="2024-02-10"/>
    <x v="3"/>
    <x v="2"/>
    <x v="3"/>
    <s v="XPS 13"/>
    <n v="2"/>
    <n v="39838"/>
    <x v="109"/>
    <s v="David"/>
    <s v="Corporate"/>
  </r>
  <r>
    <s v="INV0111"/>
    <s v="2024-01-09"/>
    <x v="5"/>
    <x v="0"/>
    <x v="0"/>
    <s v="Swift 3"/>
    <n v="4"/>
    <n v="68175"/>
    <x v="110"/>
    <s v="Charlie"/>
    <s v="Corporate"/>
  </r>
  <r>
    <s v="INV0112"/>
    <s v="2024-03-08"/>
    <x v="0"/>
    <x v="4"/>
    <x v="0"/>
    <s v="Nitro 5"/>
    <n v="1"/>
    <n v="60595"/>
    <x v="111"/>
    <s v="Frank"/>
    <s v="Retail"/>
  </r>
  <r>
    <s v="INV0113"/>
    <s v="2024-06-14"/>
    <x v="2"/>
    <x v="0"/>
    <x v="5"/>
    <s v="iPad Air"/>
    <n v="5"/>
    <n v="59466"/>
    <x v="112"/>
    <s v="Charlie"/>
    <s v="Retail"/>
  </r>
  <r>
    <s v="INV0114"/>
    <s v="2024-06-01"/>
    <x v="2"/>
    <x v="4"/>
    <x v="1"/>
    <s v="ThinkPad X1"/>
    <n v="2"/>
    <n v="70319"/>
    <x v="113"/>
    <s v="Charlie"/>
    <s v="Corporate"/>
  </r>
  <r>
    <s v="INV0115"/>
    <s v="2024-03-10"/>
    <x v="0"/>
    <x v="4"/>
    <x v="1"/>
    <s v="IdeaPad 3"/>
    <n v="3"/>
    <n v="82757"/>
    <x v="114"/>
    <s v="Eva"/>
    <s v="Corporate"/>
  </r>
  <r>
    <s v="INV0116"/>
    <s v="2024-04-20"/>
    <x v="4"/>
    <x v="3"/>
    <x v="5"/>
    <s v="iPad Air"/>
    <n v="5"/>
    <n v="35224"/>
    <x v="115"/>
    <s v="Eva"/>
    <s v="Corporate"/>
  </r>
  <r>
    <s v="INV0117"/>
    <s v="2024-06-21"/>
    <x v="2"/>
    <x v="3"/>
    <x v="1"/>
    <s v="ThinkPad X1"/>
    <n v="2"/>
    <n v="32719"/>
    <x v="116"/>
    <s v="Eva"/>
    <s v="Retail"/>
  </r>
  <r>
    <s v="INV0118"/>
    <s v="2024-03-12"/>
    <x v="0"/>
    <x v="0"/>
    <x v="3"/>
    <s v="Inspiron 15"/>
    <n v="5"/>
    <n v="87963"/>
    <x v="117"/>
    <s v="Eva"/>
    <s v="Corporate"/>
  </r>
  <r>
    <s v="INV0119"/>
    <s v="2024-03-30"/>
    <x v="0"/>
    <x v="1"/>
    <x v="0"/>
    <s v="Nitro 5"/>
    <n v="1"/>
    <n v="91605"/>
    <x v="118"/>
    <s v="Charlie"/>
    <s v="Corporate"/>
  </r>
  <r>
    <s v="INV0120"/>
    <s v="2024-04-15"/>
    <x v="4"/>
    <x v="1"/>
    <x v="0"/>
    <s v="Aspire 5"/>
    <n v="2"/>
    <n v="73228"/>
    <x v="119"/>
    <s v="Charlie"/>
    <s v="Corporate"/>
  </r>
  <r>
    <s v="INV0121"/>
    <s v="2024-03-21"/>
    <x v="0"/>
    <x v="3"/>
    <x v="4"/>
    <s v="ROG Zephyrus"/>
    <n v="4"/>
    <n v="41542"/>
    <x v="120"/>
    <s v="Charlie"/>
    <s v="Retail"/>
  </r>
  <r>
    <s v="INV0122"/>
    <s v="2024-04-15"/>
    <x v="4"/>
    <x v="2"/>
    <x v="5"/>
    <s v="iPad Mini"/>
    <n v="1"/>
    <n v="90552"/>
    <x v="121"/>
    <s v="Bob"/>
    <s v="Corporate"/>
  </r>
  <r>
    <s v="INV0123"/>
    <s v="2024-02-22"/>
    <x v="3"/>
    <x v="3"/>
    <x v="4"/>
    <s v="VivoBook"/>
    <n v="4"/>
    <n v="36764"/>
    <x v="122"/>
    <s v="Eva"/>
    <s v="Retail"/>
  </r>
  <r>
    <s v="INV0124"/>
    <s v="2024-01-08"/>
    <x v="5"/>
    <x v="4"/>
    <x v="2"/>
    <s v="Envy"/>
    <n v="4"/>
    <n v="45915"/>
    <x v="123"/>
    <s v="Bob"/>
    <s v="Retail"/>
  </r>
  <r>
    <s v="INV0125"/>
    <s v="2024-01-24"/>
    <x v="5"/>
    <x v="0"/>
    <x v="2"/>
    <s v="Spectre"/>
    <n v="1"/>
    <n v="83476"/>
    <x v="124"/>
    <s v="Alice"/>
    <s v="Corporate"/>
  </r>
  <r>
    <s v="INV0126"/>
    <s v="2024-03-15"/>
    <x v="0"/>
    <x v="4"/>
    <x v="1"/>
    <s v="Legion 5"/>
    <n v="2"/>
    <n v="95323"/>
    <x v="125"/>
    <s v="Frank"/>
    <s v="Corporate"/>
  </r>
  <r>
    <s v="INV0127"/>
    <s v="2024-04-26"/>
    <x v="4"/>
    <x v="4"/>
    <x v="5"/>
    <s v="iPad Pro"/>
    <n v="4"/>
    <n v="61946"/>
    <x v="126"/>
    <s v="Bob"/>
    <s v="Corporate"/>
  </r>
  <r>
    <s v="INV0128"/>
    <s v="2024-01-18"/>
    <x v="5"/>
    <x v="3"/>
    <x v="3"/>
    <s v="G15"/>
    <n v="5"/>
    <n v="47892"/>
    <x v="127"/>
    <s v="David"/>
    <s v="Corporate"/>
  </r>
  <r>
    <s v="INV0129"/>
    <s v="2024-03-17"/>
    <x v="0"/>
    <x v="4"/>
    <x v="4"/>
    <s v="VivoBook"/>
    <n v="1"/>
    <n v="67072"/>
    <x v="128"/>
    <s v="Eva"/>
    <s v="Corporate"/>
  </r>
  <r>
    <s v="INV0130"/>
    <s v="2024-03-29"/>
    <x v="0"/>
    <x v="3"/>
    <x v="3"/>
    <s v="Inspiron 15"/>
    <n v="5"/>
    <n v="93483"/>
    <x v="129"/>
    <s v="Eva"/>
    <s v="Corporate"/>
  </r>
  <r>
    <s v="INV0131"/>
    <s v="2024-05-26"/>
    <x v="1"/>
    <x v="1"/>
    <x v="5"/>
    <s v="iPad Pro"/>
    <n v="2"/>
    <n v="61300"/>
    <x v="130"/>
    <s v="Bob"/>
    <s v="Corporate"/>
  </r>
  <r>
    <s v="INV0132"/>
    <s v="2024-04-08"/>
    <x v="4"/>
    <x v="0"/>
    <x v="1"/>
    <s v="IdeaPad 3"/>
    <n v="4"/>
    <n v="79968"/>
    <x v="131"/>
    <s v="David"/>
    <s v="Retail"/>
  </r>
  <r>
    <s v="INV0133"/>
    <s v="2024-01-26"/>
    <x v="5"/>
    <x v="1"/>
    <x v="3"/>
    <s v="G15"/>
    <n v="5"/>
    <n v="73515"/>
    <x v="132"/>
    <s v="Alice"/>
    <s v="Corporate"/>
  </r>
  <r>
    <s v="INV0134"/>
    <s v="2024-06-16"/>
    <x v="2"/>
    <x v="0"/>
    <x v="1"/>
    <s v="Legion 5"/>
    <n v="2"/>
    <n v="83736"/>
    <x v="133"/>
    <s v="Alice"/>
    <s v="Corporate"/>
  </r>
  <r>
    <s v="INV0135"/>
    <s v="2024-06-15"/>
    <x v="2"/>
    <x v="2"/>
    <x v="2"/>
    <s v="Envy"/>
    <n v="5"/>
    <n v="82098"/>
    <x v="134"/>
    <s v="Charlie"/>
    <s v="Corporate"/>
  </r>
  <r>
    <s v="INV0136"/>
    <s v="2024-06-07"/>
    <x v="2"/>
    <x v="2"/>
    <x v="2"/>
    <s v="Spectre"/>
    <n v="4"/>
    <n v="34705"/>
    <x v="135"/>
    <s v="Bob"/>
    <s v="Corporate"/>
  </r>
  <r>
    <s v="INV0137"/>
    <s v="2024-01-26"/>
    <x v="5"/>
    <x v="2"/>
    <x v="3"/>
    <s v="G15"/>
    <n v="1"/>
    <n v="86881"/>
    <x v="136"/>
    <s v="David"/>
    <s v="Retail"/>
  </r>
  <r>
    <s v="INV0138"/>
    <s v="2024-03-24"/>
    <x v="0"/>
    <x v="2"/>
    <x v="0"/>
    <s v="Nitro 5"/>
    <n v="1"/>
    <n v="36028"/>
    <x v="137"/>
    <s v="Charlie"/>
    <s v="Corporate"/>
  </r>
  <r>
    <s v="INV0139"/>
    <s v="2024-05-15"/>
    <x v="1"/>
    <x v="1"/>
    <x v="2"/>
    <s v="Envy"/>
    <n v="2"/>
    <n v="62007"/>
    <x v="138"/>
    <s v="Eva"/>
    <s v="Retail"/>
  </r>
  <r>
    <s v="INV0140"/>
    <s v="2024-06-07"/>
    <x v="2"/>
    <x v="0"/>
    <x v="3"/>
    <s v="XPS 13"/>
    <n v="1"/>
    <n v="80140"/>
    <x v="139"/>
    <s v="David"/>
    <s v="Retail"/>
  </r>
  <r>
    <s v="INV0141"/>
    <s v="2024-03-06"/>
    <x v="0"/>
    <x v="2"/>
    <x v="3"/>
    <s v="Inspiron 15"/>
    <n v="3"/>
    <n v="90236"/>
    <x v="140"/>
    <s v="David"/>
    <s v="Corporate"/>
  </r>
  <r>
    <s v="INV0142"/>
    <s v="2024-04-23"/>
    <x v="4"/>
    <x v="3"/>
    <x v="0"/>
    <s v="Swift 3"/>
    <n v="2"/>
    <n v="39681"/>
    <x v="141"/>
    <s v="Eva"/>
    <s v="Corporate"/>
  </r>
  <r>
    <s v="INV0143"/>
    <s v="2024-03-18"/>
    <x v="0"/>
    <x v="0"/>
    <x v="0"/>
    <s v="Nitro 5"/>
    <n v="3"/>
    <n v="89878"/>
    <x v="142"/>
    <s v="David"/>
    <s v="Corporate"/>
  </r>
  <r>
    <s v="INV0144"/>
    <s v="2024-05-27"/>
    <x v="1"/>
    <x v="3"/>
    <x v="1"/>
    <s v="ThinkPad X1"/>
    <n v="4"/>
    <n v="77049"/>
    <x v="143"/>
    <s v="Frank"/>
    <s v="Corporate"/>
  </r>
  <r>
    <s v="INV0145"/>
    <s v="2024-01-03"/>
    <x v="5"/>
    <x v="4"/>
    <x v="1"/>
    <s v="Legion 5"/>
    <n v="4"/>
    <n v="65976"/>
    <x v="144"/>
    <s v="Frank"/>
    <s v="Retail"/>
  </r>
  <r>
    <s v="INV0146"/>
    <s v="2024-02-28"/>
    <x v="3"/>
    <x v="4"/>
    <x v="4"/>
    <s v="ZenBook"/>
    <n v="4"/>
    <n v="67512"/>
    <x v="145"/>
    <s v="Charlie"/>
    <s v="Retail"/>
  </r>
  <r>
    <s v="INV0147"/>
    <s v="2024-06-22"/>
    <x v="2"/>
    <x v="0"/>
    <x v="0"/>
    <s v="Aspire 5"/>
    <n v="5"/>
    <n v="62850"/>
    <x v="146"/>
    <s v="Frank"/>
    <s v="Retail"/>
  </r>
  <r>
    <s v="INV0148"/>
    <s v="2024-04-22"/>
    <x v="4"/>
    <x v="2"/>
    <x v="0"/>
    <s v="Swift 3"/>
    <n v="1"/>
    <n v="70492"/>
    <x v="147"/>
    <s v="Eva"/>
    <s v="Corporate"/>
  </r>
  <r>
    <s v="INV0149"/>
    <s v="2024-03-24"/>
    <x v="0"/>
    <x v="1"/>
    <x v="0"/>
    <s v="Aspire 5"/>
    <n v="1"/>
    <n v="68680"/>
    <x v="148"/>
    <s v="Bob"/>
    <s v="Retail"/>
  </r>
  <r>
    <s v="INV0150"/>
    <s v="2024-05-08"/>
    <x v="1"/>
    <x v="3"/>
    <x v="3"/>
    <s v="G15"/>
    <n v="3"/>
    <n v="99579"/>
    <x v="149"/>
    <s v="Bob"/>
    <s v="Corporate"/>
  </r>
  <r>
    <s v="INV0151"/>
    <s v="2024-04-29"/>
    <x v="4"/>
    <x v="2"/>
    <x v="5"/>
    <s v="iPad Pro"/>
    <n v="3"/>
    <n v="45095"/>
    <x v="150"/>
    <s v="Bob"/>
    <s v="Retail"/>
  </r>
  <r>
    <s v="INV0152"/>
    <s v="2024-01-24"/>
    <x v="5"/>
    <x v="1"/>
    <x v="0"/>
    <s v="Swift 3"/>
    <n v="4"/>
    <n v="77942"/>
    <x v="151"/>
    <s v="Alice"/>
    <s v="Corporate"/>
  </r>
  <r>
    <s v="INV0153"/>
    <s v="2024-06-21"/>
    <x v="2"/>
    <x v="3"/>
    <x v="4"/>
    <s v="ROG Zephyrus"/>
    <n v="4"/>
    <n v="78311"/>
    <x v="152"/>
    <s v="Eva"/>
    <s v="Corporate"/>
  </r>
  <r>
    <s v="INV0154"/>
    <s v="2024-04-30"/>
    <x v="4"/>
    <x v="2"/>
    <x v="0"/>
    <s v="Nitro 5"/>
    <n v="1"/>
    <n v="60647"/>
    <x v="153"/>
    <s v="Eva"/>
    <s v="Corporate"/>
  </r>
  <r>
    <s v="INV0155"/>
    <s v="2024-06-28"/>
    <x v="2"/>
    <x v="3"/>
    <x v="4"/>
    <s v="ROG Zephyrus"/>
    <n v="1"/>
    <n v="90852"/>
    <x v="154"/>
    <s v="Frank"/>
    <s v="Corporate"/>
  </r>
  <r>
    <s v="INV0156"/>
    <s v="2024-03-18"/>
    <x v="0"/>
    <x v="1"/>
    <x v="1"/>
    <s v="ThinkPad X1"/>
    <n v="1"/>
    <n v="34877"/>
    <x v="155"/>
    <s v="Alice"/>
    <s v="Retail"/>
  </r>
  <r>
    <s v="INV0157"/>
    <s v="2024-04-26"/>
    <x v="4"/>
    <x v="3"/>
    <x v="3"/>
    <s v="G15"/>
    <n v="2"/>
    <n v="80940"/>
    <x v="156"/>
    <s v="Frank"/>
    <s v="Corporate"/>
  </r>
  <r>
    <s v="INV0158"/>
    <s v="2024-06-16"/>
    <x v="2"/>
    <x v="2"/>
    <x v="4"/>
    <s v="ZenBook"/>
    <n v="2"/>
    <n v="84379"/>
    <x v="157"/>
    <s v="David"/>
    <s v="Corporate"/>
  </r>
  <r>
    <s v="INV0159"/>
    <s v="2024-04-23"/>
    <x v="4"/>
    <x v="1"/>
    <x v="2"/>
    <s v="Pavilion"/>
    <n v="3"/>
    <n v="58477"/>
    <x v="158"/>
    <s v="Bob"/>
    <s v="Corporate"/>
  </r>
  <r>
    <s v="INV0160"/>
    <s v="2024-01-16"/>
    <x v="5"/>
    <x v="1"/>
    <x v="1"/>
    <s v="Legion 5"/>
    <n v="3"/>
    <n v="77012"/>
    <x v="159"/>
    <s v="Charlie"/>
    <s v="Retail"/>
  </r>
  <r>
    <s v="INV0161"/>
    <s v="2024-06-13"/>
    <x v="2"/>
    <x v="4"/>
    <x v="1"/>
    <s v="IdeaPad 3"/>
    <n v="1"/>
    <n v="57801"/>
    <x v="160"/>
    <s v="Alice"/>
    <s v="Retail"/>
  </r>
  <r>
    <s v="INV0162"/>
    <s v="2024-01-18"/>
    <x v="5"/>
    <x v="4"/>
    <x v="2"/>
    <s v="Pavilion"/>
    <n v="2"/>
    <n v="56896"/>
    <x v="161"/>
    <s v="Bob"/>
    <s v="Retail"/>
  </r>
  <r>
    <s v="INV0163"/>
    <s v="2024-03-11"/>
    <x v="0"/>
    <x v="0"/>
    <x v="3"/>
    <s v="Inspiron 15"/>
    <n v="2"/>
    <n v="30371"/>
    <x v="162"/>
    <s v="Bob"/>
    <s v="Corporate"/>
  </r>
  <r>
    <s v="INV0164"/>
    <s v="2024-01-04"/>
    <x v="5"/>
    <x v="3"/>
    <x v="3"/>
    <s v="XPS 13"/>
    <n v="1"/>
    <n v="47275"/>
    <x v="163"/>
    <s v="Bob"/>
    <s v="Corporate"/>
  </r>
  <r>
    <s v="INV0165"/>
    <s v="2024-02-02"/>
    <x v="3"/>
    <x v="1"/>
    <x v="1"/>
    <s v="ThinkPad X1"/>
    <n v="3"/>
    <n v="36868"/>
    <x v="164"/>
    <s v="Eva"/>
    <s v="Retail"/>
  </r>
  <r>
    <s v="INV0166"/>
    <s v="2024-04-02"/>
    <x v="4"/>
    <x v="4"/>
    <x v="0"/>
    <s v="Aspire 5"/>
    <n v="4"/>
    <n v="88756"/>
    <x v="165"/>
    <s v="Eva"/>
    <s v="Retail"/>
  </r>
  <r>
    <s v="INV0167"/>
    <s v="2024-06-17"/>
    <x v="2"/>
    <x v="4"/>
    <x v="5"/>
    <s v="iPad Mini"/>
    <n v="2"/>
    <n v="35683"/>
    <x v="166"/>
    <s v="Charlie"/>
    <s v="Corporate"/>
  </r>
  <r>
    <s v="INV0168"/>
    <s v="2024-04-12"/>
    <x v="4"/>
    <x v="1"/>
    <x v="0"/>
    <s v="Aspire 5"/>
    <n v="1"/>
    <n v="92781"/>
    <x v="167"/>
    <s v="Frank"/>
    <s v="Retail"/>
  </r>
  <r>
    <s v="INV0169"/>
    <s v="2024-01-21"/>
    <x v="5"/>
    <x v="3"/>
    <x v="5"/>
    <s v="iPad Mini"/>
    <n v="4"/>
    <n v="39632"/>
    <x v="168"/>
    <s v="Eva"/>
    <s v="Retail"/>
  </r>
  <r>
    <s v="INV0170"/>
    <s v="2024-04-07"/>
    <x v="4"/>
    <x v="4"/>
    <x v="1"/>
    <s v="ThinkPad X1"/>
    <n v="3"/>
    <n v="72622"/>
    <x v="169"/>
    <s v="Eva"/>
    <s v="Corporate"/>
  </r>
  <r>
    <s v="INV0171"/>
    <s v="2024-01-26"/>
    <x v="5"/>
    <x v="2"/>
    <x v="5"/>
    <s v="iPad Mini"/>
    <n v="5"/>
    <n v="86387"/>
    <x v="170"/>
    <s v="Frank"/>
    <s v="Retail"/>
  </r>
  <r>
    <s v="INV0172"/>
    <s v="2024-03-27"/>
    <x v="0"/>
    <x v="1"/>
    <x v="5"/>
    <s v="iPad Pro"/>
    <n v="2"/>
    <n v="84239"/>
    <x v="171"/>
    <s v="David"/>
    <s v="Corporate"/>
  </r>
  <r>
    <s v="INV0173"/>
    <s v="2024-03-21"/>
    <x v="0"/>
    <x v="3"/>
    <x v="0"/>
    <s v="Aspire 5"/>
    <n v="3"/>
    <n v="85936"/>
    <x v="172"/>
    <s v="Charlie"/>
    <s v="Retail"/>
  </r>
  <r>
    <s v="INV0174"/>
    <s v="2024-01-22"/>
    <x v="5"/>
    <x v="2"/>
    <x v="0"/>
    <s v="Nitro 5"/>
    <n v="1"/>
    <n v="41957"/>
    <x v="173"/>
    <s v="David"/>
    <s v="Retail"/>
  </r>
  <r>
    <s v="INV0175"/>
    <s v="2024-05-22"/>
    <x v="1"/>
    <x v="2"/>
    <x v="0"/>
    <s v="Swift 3"/>
    <n v="3"/>
    <n v="47054"/>
    <x v="174"/>
    <s v="Eva"/>
    <s v="Corporate"/>
  </r>
  <r>
    <s v="INV0176"/>
    <s v="2024-06-19"/>
    <x v="2"/>
    <x v="1"/>
    <x v="0"/>
    <s v="Aspire 5"/>
    <n v="4"/>
    <n v="76346"/>
    <x v="175"/>
    <s v="Frank"/>
    <s v="Retail"/>
  </r>
  <r>
    <s v="INV0177"/>
    <s v="2024-01-27"/>
    <x v="5"/>
    <x v="4"/>
    <x v="2"/>
    <s v="Spectre"/>
    <n v="3"/>
    <n v="76090"/>
    <x v="176"/>
    <s v="Eva"/>
    <s v="Retail"/>
  </r>
  <r>
    <s v="INV0178"/>
    <s v="2024-01-28"/>
    <x v="5"/>
    <x v="3"/>
    <x v="3"/>
    <s v="G15"/>
    <n v="4"/>
    <n v="59392"/>
    <x v="177"/>
    <s v="Eva"/>
    <s v="Corporate"/>
  </r>
  <r>
    <s v="INV0179"/>
    <s v="2024-04-19"/>
    <x v="4"/>
    <x v="4"/>
    <x v="1"/>
    <s v="IdeaPad 3"/>
    <n v="5"/>
    <n v="59643"/>
    <x v="178"/>
    <s v="Eva"/>
    <s v="Retail"/>
  </r>
  <r>
    <s v="INV0180"/>
    <s v="2024-02-16"/>
    <x v="3"/>
    <x v="3"/>
    <x v="4"/>
    <s v="ZenBook"/>
    <n v="3"/>
    <n v="33794"/>
    <x v="179"/>
    <s v="Frank"/>
    <s v="Corporate"/>
  </r>
  <r>
    <s v="INV0181"/>
    <s v="2024-02-06"/>
    <x v="3"/>
    <x v="4"/>
    <x v="2"/>
    <s v="Envy"/>
    <n v="1"/>
    <n v="53777"/>
    <x v="180"/>
    <s v="Frank"/>
    <s v="Corporate"/>
  </r>
  <r>
    <s v="INV0182"/>
    <s v="2024-05-15"/>
    <x v="1"/>
    <x v="0"/>
    <x v="1"/>
    <s v="ThinkPad X1"/>
    <n v="1"/>
    <n v="42026"/>
    <x v="181"/>
    <s v="David"/>
    <s v="Corporate"/>
  </r>
  <r>
    <s v="INV0183"/>
    <s v="2024-03-20"/>
    <x v="0"/>
    <x v="3"/>
    <x v="5"/>
    <s v="iPad Pro"/>
    <n v="2"/>
    <n v="78503"/>
    <x v="182"/>
    <s v="Eva"/>
    <s v="Retail"/>
  </r>
  <r>
    <s v="INV0184"/>
    <s v="2024-06-21"/>
    <x v="2"/>
    <x v="2"/>
    <x v="1"/>
    <s v="ThinkPad X1"/>
    <n v="2"/>
    <n v="36522"/>
    <x v="183"/>
    <s v="Charlie"/>
    <s v="Corporate"/>
  </r>
  <r>
    <s v="INV0185"/>
    <s v="2024-04-16"/>
    <x v="4"/>
    <x v="3"/>
    <x v="0"/>
    <s v="Nitro 5"/>
    <n v="4"/>
    <n v="87939"/>
    <x v="184"/>
    <s v="Bob"/>
    <s v="Retail"/>
  </r>
  <r>
    <s v="INV0186"/>
    <s v="2024-06-22"/>
    <x v="2"/>
    <x v="4"/>
    <x v="2"/>
    <s v="Envy"/>
    <n v="1"/>
    <n v="67125"/>
    <x v="185"/>
    <s v="David"/>
    <s v="Corporate"/>
  </r>
  <r>
    <s v="INV0187"/>
    <s v="2024-01-02"/>
    <x v="5"/>
    <x v="0"/>
    <x v="1"/>
    <s v="ThinkPad X1"/>
    <n v="4"/>
    <n v="37180"/>
    <x v="186"/>
    <s v="Charlie"/>
    <s v="Retail"/>
  </r>
  <r>
    <s v="INV0188"/>
    <s v="2024-01-31"/>
    <x v="5"/>
    <x v="2"/>
    <x v="3"/>
    <s v="Inspiron 15"/>
    <n v="3"/>
    <n v="73007"/>
    <x v="187"/>
    <s v="David"/>
    <s v="Corporate"/>
  </r>
  <r>
    <s v="INV0189"/>
    <s v="2024-06-29"/>
    <x v="2"/>
    <x v="0"/>
    <x v="3"/>
    <s v="XPS 13"/>
    <n v="4"/>
    <n v="99806"/>
    <x v="188"/>
    <s v="Eva"/>
    <s v="Corporate"/>
  </r>
  <r>
    <s v="INV0190"/>
    <s v="2024-01-05"/>
    <x v="5"/>
    <x v="1"/>
    <x v="1"/>
    <s v="IdeaPad 3"/>
    <n v="1"/>
    <n v="87176"/>
    <x v="189"/>
    <s v="Alice"/>
    <s v="Corporate"/>
  </r>
  <r>
    <s v="INV0191"/>
    <s v="2024-06-12"/>
    <x v="2"/>
    <x v="1"/>
    <x v="4"/>
    <s v="VivoBook"/>
    <n v="5"/>
    <n v="83008"/>
    <x v="190"/>
    <s v="Charlie"/>
    <s v="Retail"/>
  </r>
  <r>
    <s v="INV0192"/>
    <s v="2024-06-07"/>
    <x v="2"/>
    <x v="1"/>
    <x v="5"/>
    <s v="iPad Air"/>
    <n v="3"/>
    <n v="52527"/>
    <x v="191"/>
    <s v="Frank"/>
    <s v="Corporate"/>
  </r>
  <r>
    <s v="INV0193"/>
    <s v="2024-04-21"/>
    <x v="4"/>
    <x v="4"/>
    <x v="1"/>
    <s v="IdeaPad 3"/>
    <n v="1"/>
    <n v="61891"/>
    <x v="192"/>
    <s v="David"/>
    <s v="Retail"/>
  </r>
  <r>
    <s v="INV0194"/>
    <s v="2024-03-26"/>
    <x v="0"/>
    <x v="0"/>
    <x v="5"/>
    <s v="iPad Pro"/>
    <n v="3"/>
    <n v="59041"/>
    <x v="193"/>
    <s v="Alice"/>
    <s v="Retail"/>
  </r>
  <r>
    <s v="INV0195"/>
    <s v="2024-03-30"/>
    <x v="0"/>
    <x v="0"/>
    <x v="4"/>
    <s v="ZenBook"/>
    <n v="2"/>
    <n v="75793"/>
    <x v="194"/>
    <s v="Bob"/>
    <s v="Retail"/>
  </r>
  <r>
    <s v="INV0196"/>
    <s v="2024-06-03"/>
    <x v="2"/>
    <x v="0"/>
    <x v="3"/>
    <s v="Inspiron 15"/>
    <n v="2"/>
    <n v="52740"/>
    <x v="195"/>
    <s v="Frank"/>
    <s v="Retail"/>
  </r>
  <r>
    <s v="INV0197"/>
    <s v="2024-05-24"/>
    <x v="1"/>
    <x v="4"/>
    <x v="3"/>
    <s v="G15"/>
    <n v="4"/>
    <n v="90811"/>
    <x v="196"/>
    <s v="David"/>
    <s v="Corporate"/>
  </r>
  <r>
    <s v="INV0198"/>
    <s v="2024-01-18"/>
    <x v="5"/>
    <x v="1"/>
    <x v="0"/>
    <s v="Nitro 5"/>
    <n v="2"/>
    <n v="87640"/>
    <x v="197"/>
    <s v="David"/>
    <s v="Corporate"/>
  </r>
  <r>
    <s v="INV0199"/>
    <s v="2024-05-09"/>
    <x v="1"/>
    <x v="2"/>
    <x v="2"/>
    <s v="Spectre"/>
    <n v="1"/>
    <n v="76129"/>
    <x v="198"/>
    <s v="Charlie"/>
    <s v="Corporate"/>
  </r>
  <r>
    <s v="INV0200"/>
    <s v="2024-03-14"/>
    <x v="0"/>
    <x v="2"/>
    <x v="5"/>
    <s v="iPad Air"/>
    <n v="1"/>
    <n v="78331"/>
    <x v="199"/>
    <s v="Frank"/>
    <s v="Retail"/>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s v="INV0001"/>
    <d v="2024-03-03T00:00:00"/>
    <n v="3"/>
    <s v="South"/>
    <x v="0"/>
    <s v="Aspire 5"/>
    <n v="1"/>
    <n v="66048"/>
    <n v="66048"/>
    <n v="33024.5"/>
    <s v="Bob"/>
    <s v="Retail"/>
  </r>
  <r>
    <s v="INV0002"/>
    <d v="2024-03-04T00:00:00"/>
    <n v="3"/>
    <s v="West"/>
    <x v="0"/>
    <s v="Swift 3"/>
    <n v="5"/>
    <n v="41395"/>
    <n v="206975"/>
    <n v="103490"/>
    <s v="Alice"/>
    <s v="Retail"/>
  </r>
  <r>
    <s v="INV0003"/>
    <d v="2024-03-05T00:00:00"/>
    <n v="3"/>
    <s v="North"/>
    <x v="1"/>
    <s v="ThinkPad X1"/>
    <n v="2"/>
    <n v="96237"/>
    <n v="192474"/>
    <n v="96238"/>
    <s v="Eva"/>
    <s v="Retail"/>
  </r>
  <r>
    <s v="INV0004"/>
    <d v="2024-03-06T00:00:00"/>
    <n v="3"/>
    <s v="West"/>
    <x v="0"/>
    <s v="Swift 3"/>
    <n v="5"/>
    <n v="84987"/>
    <n v="424935"/>
    <n v="212470"/>
    <s v="Eva"/>
    <s v="Corporate"/>
  </r>
  <r>
    <s v="INV0005"/>
    <d v="2024-03-07T00:00:00"/>
    <n v="3"/>
    <s v="South"/>
    <x v="1"/>
    <s v="ThinkPad X1"/>
    <n v="4"/>
    <n v="74597"/>
    <n v="298388"/>
    <n v="149196"/>
    <s v="Bob"/>
    <s v="Corporate"/>
  </r>
  <r>
    <s v="INV0006"/>
    <d v="2024-03-08T00:00:00"/>
    <n v="3"/>
    <s v="East"/>
    <x v="1"/>
    <s v="ThinkPad X1"/>
    <n v="4"/>
    <n v="42676"/>
    <n v="170704"/>
    <n v="85354"/>
    <s v="Eva"/>
    <s v="Corporate"/>
  </r>
  <r>
    <s v="INV0007"/>
    <d v="2024-03-09T00:00:00"/>
    <n v="3"/>
    <s v="North"/>
    <x v="1"/>
    <s v="Legion 5"/>
    <n v="4"/>
    <n v="46361"/>
    <n v="185444"/>
    <n v="92724"/>
    <s v="Eva"/>
    <s v="Corporate"/>
  </r>
  <r>
    <s v="INV0008"/>
    <d v="2024-03-10T00:00:00"/>
    <n v="3"/>
    <s v="North"/>
    <x v="0"/>
    <s v="Swift 3"/>
    <n v="3"/>
    <n v="55203"/>
    <n v="165609"/>
    <n v="82806"/>
    <s v="Alice"/>
    <s v="Retail"/>
  </r>
  <r>
    <s v="INV0009"/>
    <d v="2024-03-11T00:00:00"/>
    <n v="3"/>
    <s v="East"/>
    <x v="2"/>
    <s v="Pavilion"/>
    <n v="2"/>
    <n v="43238"/>
    <n v="86476"/>
    <n v="43239"/>
    <s v="David"/>
    <s v="Corporate"/>
  </r>
  <r>
    <s v="INV0010"/>
    <d v="2024-03-12T00:00:00"/>
    <n v="3"/>
    <s v="East"/>
    <x v="3"/>
    <s v="Inspiron 15"/>
    <n v="3"/>
    <n v="57460"/>
    <n v="172380"/>
    <n v="86191.5"/>
    <s v="Frank"/>
    <s v="Retail"/>
  </r>
  <r>
    <s v="INV0011"/>
    <d v="2024-03-13T00:00:00"/>
    <n v="3"/>
    <s v="West"/>
    <x v="4"/>
    <s v="ZenBook"/>
    <n v="2"/>
    <n v="62087"/>
    <n v="124174"/>
    <n v="62088"/>
    <s v="David"/>
    <s v="Corporate"/>
  </r>
  <r>
    <s v="INV0012"/>
    <d v="2024-03-14T00:00:00"/>
    <n v="3"/>
    <s v="East"/>
    <x v="0"/>
    <s v="Swift 3"/>
    <n v="5"/>
    <n v="58785"/>
    <n v="293925"/>
    <n v="146965"/>
    <s v="Alice"/>
    <s v="Retail"/>
  </r>
  <r>
    <s v="INV0013"/>
    <d v="2024-03-15T00:00:00"/>
    <n v="3"/>
    <s v="South"/>
    <x v="1"/>
    <s v="IdeaPad 3"/>
    <n v="4"/>
    <n v="65093"/>
    <n v="260372"/>
    <n v="130188"/>
    <s v="Eva"/>
    <s v="Corporate"/>
  </r>
  <r>
    <s v="INV0014"/>
    <d v="2024-03-16T00:00:00"/>
    <n v="3"/>
    <s v="West"/>
    <x v="3"/>
    <s v="G15"/>
    <n v="4"/>
    <n v="81856"/>
    <n v="327424"/>
    <n v="163714"/>
    <s v="Bob"/>
    <s v="Corporate"/>
  </r>
  <r>
    <s v="INV0015"/>
    <d v="2024-03-17T00:00:00"/>
    <n v="3"/>
    <s v="West"/>
    <x v="3"/>
    <s v="XPS 13"/>
    <n v="5"/>
    <n v="64438"/>
    <n v="322190"/>
    <n v="161097.5"/>
    <s v="Eva"/>
    <s v="Corporate"/>
  </r>
  <r>
    <s v="INV0016"/>
    <d v="2024-03-18T00:00:00"/>
    <n v="3"/>
    <s v="North"/>
    <x v="2"/>
    <s v="Pavilion"/>
    <n v="2"/>
    <n v="96784"/>
    <n v="193568"/>
    <n v="96785"/>
    <s v="Alice"/>
    <s v="Retail"/>
  </r>
  <r>
    <s v="INV0017"/>
    <d v="2024-03-19T00:00:00"/>
    <n v="3"/>
    <s v="North"/>
    <x v="3"/>
    <s v="G15"/>
    <n v="2"/>
    <n v="85333"/>
    <n v="170666"/>
    <n v="85334"/>
    <s v="David"/>
    <s v="Corporate"/>
  </r>
  <r>
    <s v="INV0018"/>
    <d v="2024-03-20T00:00:00"/>
    <n v="3"/>
    <s v="North"/>
    <x v="4"/>
    <s v="VivoBook"/>
    <n v="5"/>
    <n v="62953"/>
    <n v="314765"/>
    <n v="157385"/>
    <s v="Frank"/>
    <s v="Retail"/>
  </r>
  <r>
    <s v="INV0019"/>
    <d v="2024-03-21T00:00:00"/>
    <n v="3"/>
    <s v="East"/>
    <x v="0"/>
    <s v="Swift 3"/>
    <n v="3"/>
    <n v="74587"/>
    <n v="223761"/>
    <n v="111882"/>
    <s v="David"/>
    <s v="Retail"/>
  </r>
  <r>
    <s v="INV0020"/>
    <d v="2024-03-22T00:00:00"/>
    <n v="3"/>
    <s v="Central"/>
    <x v="5"/>
    <s v="iPad Air"/>
    <n v="3"/>
    <n v="95612"/>
    <n v="286836"/>
    <n v="143419.5"/>
    <s v="Alice"/>
    <s v="Corporate"/>
  </r>
  <r>
    <s v="INV0021"/>
    <d v="2024-03-23T00:00:00"/>
    <n v="3"/>
    <s v="East"/>
    <x v="0"/>
    <s v="Swift 3"/>
    <n v="5"/>
    <n v="56071"/>
    <n v="280355"/>
    <n v="140180"/>
    <s v="Bob"/>
    <s v="Retail"/>
  </r>
  <r>
    <s v="INV0022"/>
    <d v="2024-03-24T00:00:00"/>
    <n v="3"/>
    <s v="East"/>
    <x v="4"/>
    <s v="VivoBook"/>
    <n v="4"/>
    <n v="32552"/>
    <n v="130208"/>
    <n v="65106"/>
    <s v="Charlie"/>
    <s v="Retail"/>
  </r>
  <r>
    <s v="INV0023"/>
    <d v="2024-03-25T00:00:00"/>
    <n v="3"/>
    <s v="West"/>
    <x v="1"/>
    <s v="ThinkPad X1"/>
    <n v="5"/>
    <n v="40322"/>
    <n v="201610"/>
    <n v="100807.5"/>
    <s v="Alice"/>
    <s v="Retail"/>
  </r>
  <r>
    <s v="INV0024"/>
    <d v="2024-03-26T00:00:00"/>
    <n v="3"/>
    <s v="Central"/>
    <x v="3"/>
    <s v="G15"/>
    <n v="4"/>
    <n v="51643"/>
    <n v="206572"/>
    <n v="103288"/>
    <s v="Eva"/>
    <s v="Corporate"/>
  </r>
  <r>
    <s v="INV0025"/>
    <d v="2024-03-27T00:00:00"/>
    <n v="3"/>
    <s v="East"/>
    <x v="3"/>
    <s v="G15"/>
    <n v="2"/>
    <n v="70857"/>
    <n v="141714"/>
    <n v="70858"/>
    <s v="David"/>
    <s v="Corporate"/>
  </r>
  <r>
    <s v="INV0026"/>
    <d v="2024-03-28T00:00:00"/>
    <n v="3"/>
    <s v="North"/>
    <x v="1"/>
    <s v="ThinkPad X1"/>
    <n v="2"/>
    <n v="38392"/>
    <n v="76784"/>
    <n v="38393"/>
    <s v="Eva"/>
    <s v="Retail"/>
  </r>
  <r>
    <s v="INV0027"/>
    <d v="2024-03-29T00:00:00"/>
    <n v="3"/>
    <s v="North"/>
    <x v="4"/>
    <s v="ROG Zephyrus"/>
    <n v="1"/>
    <n v="39305"/>
    <n v="39305"/>
    <n v="19653"/>
    <s v="Bob"/>
    <s v="Retail"/>
  </r>
  <r>
    <s v="INV0028"/>
    <d v="2024-03-30T00:00:00"/>
    <n v="3"/>
    <s v="East"/>
    <x v="1"/>
    <s v="IdeaPad 3"/>
    <n v="1"/>
    <n v="97391"/>
    <n v="97391"/>
    <n v="48696"/>
    <s v="Frank"/>
    <s v="Corporate"/>
  </r>
  <r>
    <s v="INV0029"/>
    <d v="2024-03-31T00:00:00"/>
    <n v="3"/>
    <s v="West"/>
    <x v="3"/>
    <s v="G15"/>
    <n v="2"/>
    <n v="91953"/>
    <n v="183906"/>
    <n v="91954"/>
    <s v="David"/>
    <s v="Retail"/>
  </r>
  <r>
    <s v="INV0030"/>
    <d v="2024-04-01T00:00:00"/>
    <n v="4"/>
    <s v="West"/>
    <x v="1"/>
    <s v="ThinkPad X1"/>
    <n v="4"/>
    <n v="76438"/>
    <n v="305752"/>
    <n v="152878"/>
    <s v="David"/>
    <s v="Retail"/>
  </r>
  <r>
    <s v="INV0031"/>
    <d v="2024-04-02T00:00:00"/>
    <n v="4"/>
    <s v="East"/>
    <x v="0"/>
    <s v="Swift 3"/>
    <n v="1"/>
    <n v="37944"/>
    <n v="37944"/>
    <n v="18972.5"/>
    <s v="Alice"/>
    <s v="Retail"/>
  </r>
  <r>
    <s v="INV0032"/>
    <d v="2024-04-03T00:00:00"/>
    <n v="4"/>
    <s v="West"/>
    <x v="3"/>
    <s v="XPS 13"/>
    <n v="5"/>
    <n v="88800"/>
    <n v="444000"/>
    <n v="222002.5"/>
    <s v="Bob"/>
    <s v="Corporate"/>
  </r>
  <r>
    <s v="INV0033"/>
    <d v="2024-04-04T00:00:00"/>
    <n v="4"/>
    <s v="North"/>
    <x v="5"/>
    <s v="iPad Air"/>
    <n v="1"/>
    <n v="88082"/>
    <n v="88082"/>
    <n v="44041.5"/>
    <s v="Alice"/>
    <s v="Retail"/>
  </r>
  <r>
    <s v="INV0034"/>
    <d v="2024-04-05T00:00:00"/>
    <n v="4"/>
    <s v="West"/>
    <x v="1"/>
    <s v="ThinkPad X1"/>
    <n v="2"/>
    <n v="83269"/>
    <n v="166538"/>
    <n v="83270"/>
    <s v="Bob"/>
    <s v="Corporate"/>
  </r>
  <r>
    <s v="INV0035"/>
    <d v="2024-04-06T00:00:00"/>
    <n v="4"/>
    <s v="East"/>
    <x v="1"/>
    <s v="ThinkPad X1"/>
    <n v="4"/>
    <n v="30282"/>
    <n v="121128"/>
    <n v="60566"/>
    <s v="David"/>
    <s v="Corporate"/>
  </r>
  <r>
    <s v="INV0036"/>
    <d v="2024-04-07T00:00:00"/>
    <n v="4"/>
    <s v="South"/>
    <x v="5"/>
    <s v="iPad Mini"/>
    <n v="5"/>
    <n v="93788"/>
    <n v="468940"/>
    <n v="234472.5"/>
    <s v="Charlie"/>
    <s v="Retail"/>
  </r>
  <r>
    <s v="INV0037"/>
    <d v="2024-04-08T00:00:00"/>
    <n v="4"/>
    <s v="North"/>
    <x v="1"/>
    <s v="Legion 5"/>
    <n v="5"/>
    <n v="37989"/>
    <n v="189945"/>
    <n v="94975"/>
    <s v="Alice"/>
    <s v="Corporate"/>
  </r>
  <r>
    <s v="INV0038"/>
    <d v="2024-04-09T00:00:00"/>
    <n v="4"/>
    <s v="North"/>
    <x v="4"/>
    <s v="ZenBook"/>
    <n v="2"/>
    <n v="37455"/>
    <n v="74910"/>
    <n v="37456"/>
    <s v="Bob"/>
    <s v="Retail"/>
  </r>
  <r>
    <s v="INV0039"/>
    <d v="2024-04-10T00:00:00"/>
    <n v="4"/>
    <s v="Central"/>
    <x v="4"/>
    <s v="ROG Zephyrus"/>
    <n v="2"/>
    <n v="82923"/>
    <n v="165846"/>
    <n v="82924"/>
    <s v="Bob"/>
    <s v="Retail"/>
  </r>
  <r>
    <s v="INV0040"/>
    <d v="2024-04-11T00:00:00"/>
    <n v="4"/>
    <s v="East"/>
    <x v="4"/>
    <s v="ROG Zephyrus"/>
    <n v="4"/>
    <n v="98522"/>
    <n v="394088"/>
    <n v="197046"/>
    <s v="Bob"/>
    <s v="Corporate"/>
  </r>
  <r>
    <s v="INV0041"/>
    <d v="2024-04-12T00:00:00"/>
    <n v="4"/>
    <s v="East"/>
    <x v="3"/>
    <s v="Inspiron 15"/>
    <n v="4"/>
    <n v="47154"/>
    <n v="188616"/>
    <n v="94310"/>
    <s v="David"/>
    <s v="Corporate"/>
  </r>
  <r>
    <s v="INV0042"/>
    <d v="2024-04-13T00:00:00"/>
    <n v="4"/>
    <s v="Central"/>
    <x v="1"/>
    <s v="ThinkPad X1"/>
    <n v="4"/>
    <n v="43104"/>
    <n v="172416"/>
    <n v="86210"/>
    <s v="Bob"/>
    <s v="Corporate"/>
  </r>
  <r>
    <s v="INV0043"/>
    <d v="2024-04-14T00:00:00"/>
    <n v="4"/>
    <s v="East"/>
    <x v="3"/>
    <s v="Inspiron 15"/>
    <n v="1"/>
    <n v="62018"/>
    <n v="62018"/>
    <n v="31009.5"/>
    <s v="Bob"/>
    <s v="Corporate"/>
  </r>
  <r>
    <s v="INV0044"/>
    <d v="2024-04-15T00:00:00"/>
    <n v="4"/>
    <s v="Central"/>
    <x v="4"/>
    <s v="ZenBook"/>
    <n v="3"/>
    <n v="99329"/>
    <n v="297987"/>
    <n v="148995"/>
    <s v="Charlie"/>
    <s v="Retail"/>
  </r>
  <r>
    <s v="INV0045"/>
    <d v="2024-04-16T00:00:00"/>
    <n v="4"/>
    <s v="South"/>
    <x v="3"/>
    <s v="Inspiron 15"/>
    <n v="1"/>
    <n v="44029"/>
    <n v="44029"/>
    <n v="22015"/>
    <s v="Charlie"/>
    <s v="Corporate"/>
  </r>
  <r>
    <s v="INV0046"/>
    <d v="2024-04-17T00:00:00"/>
    <n v="4"/>
    <s v="East"/>
    <x v="4"/>
    <s v="ROG Zephyrus"/>
    <n v="3"/>
    <n v="56685"/>
    <n v="170055"/>
    <n v="85029"/>
    <s v="Eva"/>
    <s v="Corporate"/>
  </r>
  <r>
    <s v="INV0047"/>
    <d v="2024-04-18T00:00:00"/>
    <n v="4"/>
    <s v="North"/>
    <x v="2"/>
    <s v="Pavilion"/>
    <n v="1"/>
    <n v="85518"/>
    <n v="85518"/>
    <n v="42759.5"/>
    <s v="Alice"/>
    <s v="Corporate"/>
  </r>
  <r>
    <s v="INV0048"/>
    <d v="2024-04-19T00:00:00"/>
    <n v="4"/>
    <s v="Central"/>
    <x v="3"/>
    <s v="G15"/>
    <n v="3"/>
    <n v="51178"/>
    <n v="153534"/>
    <n v="76768.5"/>
    <s v="Frank"/>
    <s v="Corporate"/>
  </r>
  <r>
    <s v="INV0049"/>
    <d v="2024-04-20T00:00:00"/>
    <n v="4"/>
    <s v="South"/>
    <x v="4"/>
    <s v="ROG Zephyrus"/>
    <n v="1"/>
    <n v="39862"/>
    <n v="39862"/>
    <n v="19931.5"/>
    <s v="Eva"/>
    <s v="Retail"/>
  </r>
  <r>
    <s v="INV0050"/>
    <d v="2024-04-21T00:00:00"/>
    <n v="4"/>
    <s v="South"/>
    <x v="2"/>
    <s v="Spectre"/>
    <n v="5"/>
    <n v="49410"/>
    <n v="247050"/>
    <n v="123527.5"/>
    <s v="Alice"/>
    <s v="Corporate"/>
  </r>
  <r>
    <s v="INV0051"/>
    <d v="2024-04-22T00:00:00"/>
    <n v="4"/>
    <s v="South"/>
    <x v="2"/>
    <s v="Pavilion"/>
    <n v="3"/>
    <n v="57535"/>
    <n v="172605"/>
    <n v="86304"/>
    <s v="Frank"/>
    <s v="Retail"/>
  </r>
  <r>
    <s v="INV0052"/>
    <d v="2024-04-23T00:00:00"/>
    <n v="4"/>
    <s v="South"/>
    <x v="2"/>
    <s v="Spectre"/>
    <n v="4"/>
    <n v="50257"/>
    <n v="201028"/>
    <n v="100516"/>
    <s v="Bob"/>
    <s v="Corporate"/>
  </r>
  <r>
    <s v="INV0053"/>
    <d v="2024-04-24T00:00:00"/>
    <n v="4"/>
    <s v="South"/>
    <x v="1"/>
    <s v="ThinkPad X1"/>
    <n v="3"/>
    <n v="83964"/>
    <n v="251892"/>
    <n v="125947.5"/>
    <s v="Charlie"/>
    <s v="Retail"/>
  </r>
  <r>
    <s v="INV0054"/>
    <d v="2024-04-25T00:00:00"/>
    <n v="4"/>
    <s v="South"/>
    <x v="0"/>
    <s v="Aspire 5"/>
    <n v="4"/>
    <n v="35075"/>
    <n v="140300"/>
    <n v="70152"/>
    <s v="Bob"/>
    <s v="Corporate"/>
  </r>
  <r>
    <s v="INV0055"/>
    <d v="2024-04-26T00:00:00"/>
    <n v="4"/>
    <s v="South"/>
    <x v="2"/>
    <s v="Envy"/>
    <n v="2"/>
    <n v="59219"/>
    <n v="118438"/>
    <n v="59220"/>
    <s v="David"/>
    <s v="Corporate"/>
  </r>
  <r>
    <s v="INV0056"/>
    <d v="2024-04-27T00:00:00"/>
    <n v="4"/>
    <s v="Central"/>
    <x v="2"/>
    <s v="Pavilion"/>
    <n v="3"/>
    <n v="76025"/>
    <n v="228075"/>
    <n v="114039"/>
    <s v="David"/>
    <s v="Corporate"/>
  </r>
  <r>
    <s v="INV0057"/>
    <d v="2024-04-28T00:00:00"/>
    <n v="4"/>
    <s v="East"/>
    <x v="1"/>
    <s v="ThinkPad X1"/>
    <n v="3"/>
    <n v="53405"/>
    <n v="160215"/>
    <n v="80109"/>
    <s v="Alice"/>
    <s v="Retail"/>
  </r>
  <r>
    <s v="INV0058"/>
    <d v="2024-04-29T00:00:00"/>
    <n v="4"/>
    <s v="Central"/>
    <x v="4"/>
    <s v="VivoBook"/>
    <n v="3"/>
    <n v="71114"/>
    <n v="213342"/>
    <n v="106672.5"/>
    <s v="Eva"/>
    <s v="Retail"/>
  </r>
  <r>
    <s v="INV0059"/>
    <d v="2024-04-30T00:00:00"/>
    <n v="4"/>
    <s v="West"/>
    <x v="5"/>
    <s v="iPad Mini"/>
    <n v="2"/>
    <n v="63386"/>
    <n v="126772"/>
    <n v="63387"/>
    <s v="Alice"/>
    <s v="Retail"/>
  </r>
  <r>
    <s v="INV0060"/>
    <d v="2024-05-01T00:00:00"/>
    <n v="5"/>
    <s v="East"/>
    <x v="2"/>
    <s v="Envy"/>
    <n v="1"/>
    <n v="73279"/>
    <n v="73279"/>
    <n v="36640"/>
    <s v="Frank"/>
    <s v="Retail"/>
  </r>
  <r>
    <s v="INV0061"/>
    <d v="2024-05-02T00:00:00"/>
    <n v="5"/>
    <s v="West"/>
    <x v="0"/>
    <s v="Nitro 5"/>
    <n v="5"/>
    <n v="70538"/>
    <n v="352690"/>
    <n v="176347.5"/>
    <s v="Charlie"/>
    <s v="Corporate"/>
  </r>
  <r>
    <s v="INV0062"/>
    <d v="2024-05-03T00:00:00"/>
    <n v="5"/>
    <s v="West"/>
    <x v="0"/>
    <s v="Nitro 5"/>
    <n v="5"/>
    <n v="46683"/>
    <n v="233415"/>
    <n v="116710"/>
    <s v="Frank"/>
    <s v="Corporate"/>
  </r>
  <r>
    <s v="INV0063"/>
    <d v="2024-05-04T00:00:00"/>
    <n v="5"/>
    <s v="Central"/>
    <x v="0"/>
    <s v="Swift 3"/>
    <n v="2"/>
    <n v="69446"/>
    <n v="138892"/>
    <n v="69447"/>
    <s v="Alice"/>
    <s v="Corporate"/>
  </r>
  <r>
    <s v="INV0064"/>
    <d v="2024-05-05T00:00:00"/>
    <n v="5"/>
    <s v="West"/>
    <x v="2"/>
    <s v="Pavilion"/>
    <n v="4"/>
    <n v="72237"/>
    <n v="288948"/>
    <n v="144476"/>
    <s v="David"/>
    <s v="Retail"/>
  </r>
  <r>
    <s v="INV0065"/>
    <d v="2024-05-06T00:00:00"/>
    <n v="5"/>
    <s v="Central"/>
    <x v="4"/>
    <s v="VivoBook"/>
    <n v="2"/>
    <n v="41114"/>
    <n v="82228"/>
    <n v="41115"/>
    <s v="Frank"/>
    <s v="Corporate"/>
  </r>
  <r>
    <s v="INV0066"/>
    <d v="2024-05-07T00:00:00"/>
    <n v="5"/>
    <s v="South"/>
    <x v="1"/>
    <s v="ThinkPad X1"/>
    <n v="3"/>
    <n v="59444"/>
    <n v="178332"/>
    <n v="89167.5"/>
    <s v="Alice"/>
    <s v="Retail"/>
  </r>
  <r>
    <s v="INV0067"/>
    <d v="2024-05-08T00:00:00"/>
    <n v="5"/>
    <s v="West"/>
    <x v="3"/>
    <s v="Inspiron 15"/>
    <n v="5"/>
    <n v="39545"/>
    <n v="197725"/>
    <n v="98865"/>
    <s v="Frank"/>
    <s v="Retail"/>
  </r>
  <r>
    <s v="INV0068"/>
    <d v="2024-05-09T00:00:00"/>
    <n v="5"/>
    <s v="South"/>
    <x v="0"/>
    <s v="Swift 3"/>
    <n v="4"/>
    <n v="94799"/>
    <n v="379196"/>
    <n v="189600"/>
    <s v="Bob"/>
    <s v="Retail"/>
  </r>
  <r>
    <s v="INV0069"/>
    <d v="2024-05-10T00:00:00"/>
    <n v="5"/>
    <s v="Central"/>
    <x v="1"/>
    <s v="IdeaPad 3"/>
    <n v="2"/>
    <n v="53053"/>
    <n v="106106"/>
    <n v="53054"/>
    <s v="David"/>
    <s v="Retail"/>
  </r>
  <r>
    <s v="INV0070"/>
    <d v="2024-05-11T00:00:00"/>
    <n v="5"/>
    <s v="West"/>
    <x v="4"/>
    <s v="ROG Zephyrus"/>
    <n v="1"/>
    <n v="89829"/>
    <n v="89829"/>
    <n v="44915"/>
    <s v="Frank"/>
    <s v="Corporate"/>
  </r>
  <r>
    <s v="INV0071"/>
    <d v="2024-05-12T00:00:00"/>
    <n v="5"/>
    <s v="West"/>
    <x v="5"/>
    <s v="iPad Mini"/>
    <n v="5"/>
    <n v="85933"/>
    <n v="429665"/>
    <n v="214835"/>
    <s v="Bob"/>
    <s v="Corporate"/>
  </r>
  <r>
    <s v="INV0072"/>
    <d v="2024-05-13T00:00:00"/>
    <n v="5"/>
    <s v="West"/>
    <x v="5"/>
    <s v="iPad Pro"/>
    <n v="2"/>
    <n v="66347"/>
    <n v="132694"/>
    <n v="66348"/>
    <s v="Frank"/>
    <s v="Retail"/>
  </r>
  <r>
    <s v="INV0073"/>
    <d v="2024-05-14T00:00:00"/>
    <n v="5"/>
    <s v="East"/>
    <x v="2"/>
    <s v="Envy"/>
    <n v="1"/>
    <n v="67450"/>
    <n v="67450"/>
    <n v="33725.5"/>
    <s v="Charlie"/>
    <s v="Corporate"/>
  </r>
  <r>
    <s v="INV0074"/>
    <d v="2024-05-15T00:00:00"/>
    <n v="5"/>
    <s v="West"/>
    <x v="4"/>
    <s v="ROG Zephyrus"/>
    <n v="2"/>
    <n v="49769"/>
    <n v="99538"/>
    <n v="49770"/>
    <s v="Frank"/>
    <s v="Retail"/>
  </r>
  <r>
    <s v="INV0075"/>
    <d v="2024-05-16T00:00:00"/>
    <n v="5"/>
    <s v="East"/>
    <x v="0"/>
    <s v="Aspire 5"/>
    <n v="1"/>
    <n v="84377"/>
    <n v="84377"/>
    <n v="42189"/>
    <s v="Eva"/>
    <s v="Corporate"/>
  </r>
  <r>
    <s v="INV0076"/>
    <d v="2024-05-17T00:00:00"/>
    <n v="5"/>
    <s v="Central"/>
    <x v="5"/>
    <s v="iPad Air"/>
    <n v="2"/>
    <n v="85069"/>
    <n v="170138"/>
    <n v="85070"/>
    <s v="Frank"/>
    <s v="Retail"/>
  </r>
  <r>
    <s v="INV0077"/>
    <d v="2024-05-18T00:00:00"/>
    <n v="5"/>
    <s v="East"/>
    <x v="4"/>
    <s v="VivoBook"/>
    <n v="4"/>
    <n v="30772"/>
    <n v="123088"/>
    <n v="61546"/>
    <s v="David"/>
    <s v="Corporate"/>
  </r>
  <r>
    <s v="INV0078"/>
    <d v="2024-05-19T00:00:00"/>
    <n v="5"/>
    <s v="South"/>
    <x v="4"/>
    <s v="ZenBook"/>
    <n v="5"/>
    <n v="58906"/>
    <n v="294530"/>
    <n v="147267.5"/>
    <s v="Charlie"/>
    <s v="Corporate"/>
  </r>
  <r>
    <s v="INV0079"/>
    <d v="2024-05-20T00:00:00"/>
    <n v="5"/>
    <s v="West"/>
    <x v="5"/>
    <s v="iPad Air"/>
    <n v="4"/>
    <n v="74057"/>
    <n v="296228"/>
    <n v="148116"/>
    <s v="Frank"/>
    <s v="Retail"/>
  </r>
  <r>
    <s v="INV0080"/>
    <d v="2024-05-21T00:00:00"/>
    <n v="5"/>
    <s v="Central"/>
    <x v="5"/>
    <s v="iPad Air"/>
    <n v="5"/>
    <n v="33534"/>
    <n v="167670"/>
    <n v="83837.5"/>
    <s v="Eva"/>
    <s v="Retail"/>
  </r>
  <r>
    <s v="INV0081"/>
    <d v="2024-05-22T00:00:00"/>
    <n v="5"/>
    <s v="South"/>
    <x v="1"/>
    <s v="Legion 5"/>
    <n v="4"/>
    <n v="47786"/>
    <n v="191144"/>
    <n v="95574"/>
    <s v="Alice"/>
    <s v="Corporate"/>
  </r>
  <r>
    <s v="INV0082"/>
    <d v="2024-05-23T00:00:00"/>
    <n v="5"/>
    <s v="East"/>
    <x v="5"/>
    <s v="iPad Pro"/>
    <n v="2"/>
    <n v="89598"/>
    <n v="179196"/>
    <n v="89599"/>
    <s v="David"/>
    <s v="Corporate"/>
  </r>
  <r>
    <s v="INV0083"/>
    <d v="2024-05-24T00:00:00"/>
    <n v="5"/>
    <s v="Central"/>
    <x v="5"/>
    <s v="iPad Pro"/>
    <n v="1"/>
    <n v="91644"/>
    <n v="91644"/>
    <n v="45822.5"/>
    <s v="Alice"/>
    <s v="Corporate"/>
  </r>
  <r>
    <s v="INV0084"/>
    <d v="2024-05-25T00:00:00"/>
    <n v="5"/>
    <s v="South"/>
    <x v="3"/>
    <s v="G15"/>
    <n v="1"/>
    <n v="35276"/>
    <n v="35276"/>
    <n v="17638.5"/>
    <s v="Bob"/>
    <s v="Retail"/>
  </r>
  <r>
    <s v="INV0085"/>
    <d v="2024-05-26T00:00:00"/>
    <n v="5"/>
    <s v="North"/>
    <x v="4"/>
    <s v="ROG Zephyrus"/>
    <n v="2"/>
    <n v="46544"/>
    <n v="93088"/>
    <n v="46545"/>
    <s v="Eva"/>
    <s v="Retail"/>
  </r>
  <r>
    <s v="INV0086"/>
    <d v="2024-05-27T00:00:00"/>
    <n v="5"/>
    <s v="Central"/>
    <x v="5"/>
    <s v="iPad Mini"/>
    <n v="3"/>
    <n v="78351"/>
    <n v="235053"/>
    <n v="117528"/>
    <s v="Eva"/>
    <s v="Retail"/>
  </r>
  <r>
    <s v="INV0087"/>
    <d v="2024-05-28T00:00:00"/>
    <n v="5"/>
    <s v="Central"/>
    <x v="3"/>
    <s v="Inspiron 15"/>
    <n v="1"/>
    <n v="33365"/>
    <n v="33365"/>
    <n v="16683"/>
    <s v="Frank"/>
    <s v="Corporate"/>
  </r>
  <r>
    <s v="INV0088"/>
    <d v="2024-05-29T00:00:00"/>
    <n v="5"/>
    <s v="South"/>
    <x v="5"/>
    <s v="iPad Mini"/>
    <n v="2"/>
    <n v="39961"/>
    <n v="79922"/>
    <n v="39962"/>
    <s v="Alice"/>
    <s v="Corporate"/>
  </r>
  <r>
    <s v="INV0089"/>
    <d v="2024-05-30T00:00:00"/>
    <n v="5"/>
    <s v="Central"/>
    <x v="0"/>
    <s v="Swift 3"/>
    <n v="1"/>
    <n v="35383"/>
    <n v="35383"/>
    <n v="17692"/>
    <s v="David"/>
    <s v="Corporate"/>
  </r>
  <r>
    <s v="INV0090"/>
    <d v="2024-05-31T00:00:00"/>
    <n v="5"/>
    <s v="West"/>
    <x v="1"/>
    <s v="Legion 5"/>
    <n v="3"/>
    <n v="31658"/>
    <n v="94974"/>
    <n v="47488.5"/>
    <s v="Alice"/>
    <s v="Corporate"/>
  </r>
  <r>
    <s v="INV0091"/>
    <d v="2024-06-01T00:00:00"/>
    <n v="6"/>
    <s v="South"/>
    <x v="2"/>
    <s v="Spectre"/>
    <n v="4"/>
    <n v="50052"/>
    <n v="200208"/>
    <n v="100106"/>
    <s v="Frank"/>
    <s v="Corporate"/>
  </r>
  <r>
    <s v="INV0092"/>
    <d v="2024-06-02T00:00:00"/>
    <n v="6"/>
    <s v="Central"/>
    <x v="4"/>
    <s v="ZenBook"/>
    <n v="4"/>
    <n v="90931"/>
    <n v="363724"/>
    <n v="181864"/>
    <s v="Charlie"/>
    <s v="Corporate"/>
  </r>
  <r>
    <s v="INV0093"/>
    <d v="2024-06-03T00:00:00"/>
    <n v="6"/>
    <s v="West"/>
    <x v="3"/>
    <s v="XPS 13"/>
    <n v="3"/>
    <n v="89087"/>
    <n v="267261"/>
    <n v="133632"/>
    <s v="Eva"/>
    <s v="Corporate"/>
  </r>
  <r>
    <s v="INV0094"/>
    <d v="2024-06-04T00:00:00"/>
    <n v="6"/>
    <s v="West"/>
    <x v="2"/>
    <s v="Pavilion"/>
    <n v="4"/>
    <n v="72600"/>
    <n v="290400"/>
    <n v="145202"/>
    <s v="Bob"/>
    <s v="Corporate"/>
  </r>
  <r>
    <s v="INV0095"/>
    <d v="2024-06-05T00:00:00"/>
    <n v="6"/>
    <s v="North"/>
    <x v="2"/>
    <s v="Envy"/>
    <n v="3"/>
    <n v="66211"/>
    <n v="198633"/>
    <n v="99318"/>
    <s v="Eva"/>
    <s v="Retail"/>
  </r>
  <r>
    <s v="INV0096"/>
    <d v="2024-06-06T00:00:00"/>
    <n v="6"/>
    <s v="South"/>
    <x v="1"/>
    <s v="ThinkPad X1"/>
    <n v="4"/>
    <n v="94038"/>
    <n v="376152"/>
    <n v="188078"/>
    <s v="Frank"/>
    <s v="Corporate"/>
  </r>
  <r>
    <s v="INV0097"/>
    <d v="2024-06-07T00:00:00"/>
    <n v="6"/>
    <s v="North"/>
    <x v="0"/>
    <s v="Swift 3"/>
    <n v="4"/>
    <n v="88743"/>
    <n v="354972"/>
    <n v="177488"/>
    <s v="Charlie"/>
    <s v="Retail"/>
  </r>
  <r>
    <s v="INV0098"/>
    <d v="2024-06-08T00:00:00"/>
    <n v="6"/>
    <s v="Central"/>
    <x v="5"/>
    <s v="iPad Mini"/>
    <n v="2"/>
    <n v="70135"/>
    <n v="140270"/>
    <n v="70136"/>
    <s v="Charlie"/>
    <s v="Corporate"/>
  </r>
  <r>
    <s v="INV0099"/>
    <d v="2024-06-09T00:00:00"/>
    <n v="6"/>
    <s v="East"/>
    <x v="4"/>
    <s v="ZenBook"/>
    <n v="3"/>
    <n v="85771"/>
    <n v="257313"/>
    <n v="128658"/>
    <s v="Charlie"/>
    <s v="Corporate"/>
  </r>
  <r>
    <s v="INV0100"/>
    <d v="2024-06-10T00:00:00"/>
    <n v="6"/>
    <s v="South"/>
    <x v="2"/>
    <s v="Envy"/>
    <n v="3"/>
    <n v="60217"/>
    <n v="180651"/>
    <n v="90327"/>
    <s v="Charlie"/>
    <s v="Retail"/>
  </r>
  <r>
    <s v="INV0101"/>
    <d v="2024-06-11T00:00:00"/>
    <n v="6"/>
    <s v="West"/>
    <x v="0"/>
    <s v="Swift 3"/>
    <n v="2"/>
    <n v="55105"/>
    <n v="110210"/>
    <n v="55106"/>
    <s v="Charlie"/>
    <s v="Corporate"/>
  </r>
  <r>
    <s v="INV0102"/>
    <d v="2024-06-12T00:00:00"/>
    <n v="6"/>
    <s v="South"/>
    <x v="1"/>
    <s v="ThinkPad X1"/>
    <n v="3"/>
    <n v="59816"/>
    <n v="179448"/>
    <n v="89725.5"/>
    <s v="Charlie"/>
    <s v="Retail"/>
  </r>
  <r>
    <s v="INV0103"/>
    <d v="2024-06-13T00:00:00"/>
    <n v="6"/>
    <s v="North"/>
    <x v="0"/>
    <s v="Swift 3"/>
    <n v="2"/>
    <n v="65954"/>
    <n v="131908"/>
    <n v="65955"/>
    <s v="Eva"/>
    <s v="Corporate"/>
  </r>
  <r>
    <s v="INV0104"/>
    <d v="2024-06-14T00:00:00"/>
    <n v="6"/>
    <s v="Central"/>
    <x v="0"/>
    <s v="Aspire 5"/>
    <n v="4"/>
    <n v="43446"/>
    <n v="173784"/>
    <n v="86894"/>
    <s v="Charlie"/>
    <s v="Corporate"/>
  </r>
  <r>
    <s v="INV0105"/>
    <d v="2024-06-15T00:00:00"/>
    <n v="6"/>
    <s v="East"/>
    <x v="5"/>
    <s v="iPad Pro"/>
    <n v="3"/>
    <n v="54164"/>
    <n v="162492"/>
    <n v="81247.5"/>
    <s v="David"/>
    <s v="Retail"/>
  </r>
  <r>
    <s v="INV0106"/>
    <d v="2024-06-16T00:00:00"/>
    <n v="6"/>
    <s v="North"/>
    <x v="1"/>
    <s v="IdeaPad 3"/>
    <n v="4"/>
    <n v="39710"/>
    <n v="158840"/>
    <n v="79422"/>
    <s v="Bob"/>
    <s v="Retail"/>
  </r>
  <r>
    <s v="INV0107"/>
    <d v="2024-06-17T00:00:00"/>
    <n v="6"/>
    <s v="Central"/>
    <x v="4"/>
    <s v="VivoBook"/>
    <n v="1"/>
    <n v="62530"/>
    <n v="62530"/>
    <n v="31265.5"/>
    <s v="David"/>
    <s v="Retail"/>
  </r>
  <r>
    <s v="INV0108"/>
    <d v="2024-06-18T00:00:00"/>
    <n v="6"/>
    <s v="Central"/>
    <x v="4"/>
    <s v="VivoBook"/>
    <n v="4"/>
    <n v="88028"/>
    <n v="352112"/>
    <n v="176058"/>
    <s v="David"/>
    <s v="Corporate"/>
  </r>
  <r>
    <s v="INV0109"/>
    <d v="2024-06-19T00:00:00"/>
    <n v="6"/>
    <s v="South"/>
    <x v="4"/>
    <s v="ZenBook"/>
    <n v="1"/>
    <n v="43006"/>
    <n v="43006"/>
    <n v="21503.5"/>
    <s v="Charlie"/>
    <s v="Retail"/>
  </r>
  <r>
    <s v="INV0110"/>
    <d v="2024-06-20T00:00:00"/>
    <n v="6"/>
    <s v="North"/>
    <x v="3"/>
    <s v="XPS 13"/>
    <n v="2"/>
    <n v="39838"/>
    <n v="79676"/>
    <n v="39839"/>
    <s v="David"/>
    <s v="Corporate"/>
  </r>
  <r>
    <s v="INV0111"/>
    <d v="2024-06-21T00:00:00"/>
    <n v="6"/>
    <s v="South"/>
    <x v="0"/>
    <s v="Swift 3"/>
    <n v="4"/>
    <n v="68175"/>
    <n v="272700"/>
    <n v="136352"/>
    <s v="Charlie"/>
    <s v="Corporate"/>
  </r>
  <r>
    <s v="INV0112"/>
    <d v="2024-06-22T00:00:00"/>
    <n v="6"/>
    <s v="Central"/>
    <x v="0"/>
    <s v="Nitro 5"/>
    <n v="1"/>
    <n v="60595"/>
    <n v="60595"/>
    <n v="30298"/>
    <s v="Frank"/>
    <s v="Retail"/>
  </r>
  <r>
    <s v="INV0113"/>
    <d v="2024-06-23T00:00:00"/>
    <n v="6"/>
    <s v="South"/>
    <x v="5"/>
    <s v="iPad Air"/>
    <n v="5"/>
    <n v="59466"/>
    <n v="297330"/>
    <n v="148667.5"/>
    <s v="Charlie"/>
    <s v="Retail"/>
  </r>
  <r>
    <s v="INV0114"/>
    <d v="2024-06-24T00:00:00"/>
    <n v="6"/>
    <s v="Central"/>
    <x v="1"/>
    <s v="ThinkPad X1"/>
    <n v="2"/>
    <n v="70319"/>
    <n v="140638"/>
    <n v="70320"/>
    <s v="Charlie"/>
    <s v="Corporate"/>
  </r>
  <r>
    <s v="INV0115"/>
    <d v="2024-06-25T00:00:00"/>
    <n v="6"/>
    <s v="Central"/>
    <x v="1"/>
    <s v="IdeaPad 3"/>
    <n v="3"/>
    <n v="82757"/>
    <n v="248271"/>
    <n v="124137"/>
    <s v="Eva"/>
    <s v="Corporate"/>
  </r>
  <r>
    <s v="INV0116"/>
    <d v="2024-06-26T00:00:00"/>
    <n v="6"/>
    <s v="East"/>
    <x v="5"/>
    <s v="iPad Air"/>
    <n v="5"/>
    <n v="35224"/>
    <n v="176120"/>
    <n v="88062.5"/>
    <s v="Eva"/>
    <s v="Corporate"/>
  </r>
  <r>
    <s v="INV0117"/>
    <d v="2024-06-27T00:00:00"/>
    <n v="6"/>
    <s v="East"/>
    <x v="1"/>
    <s v="ThinkPad X1"/>
    <n v="2"/>
    <n v="32719"/>
    <n v="65438"/>
    <n v="32720"/>
    <s v="Eva"/>
    <s v="Retail"/>
  </r>
  <r>
    <s v="INV0118"/>
    <d v="2024-06-28T00:00:00"/>
    <n v="6"/>
    <s v="South"/>
    <x v="3"/>
    <s v="Inspiron 15"/>
    <n v="5"/>
    <n v="87963"/>
    <n v="439815"/>
    <n v="219910"/>
    <s v="Eva"/>
    <s v="Corporate"/>
  </r>
  <r>
    <s v="INV0119"/>
    <d v="2024-06-29T00:00:00"/>
    <n v="6"/>
    <s v="West"/>
    <x v="0"/>
    <s v="Nitro 5"/>
    <n v="1"/>
    <n v="91605"/>
    <n v="91605"/>
    <n v="45803"/>
    <s v="Charlie"/>
    <s v="Corporate"/>
  </r>
  <r>
    <s v="INV0120"/>
    <d v="2024-06-30T00:00:00"/>
    <n v="6"/>
    <s v="West"/>
    <x v="0"/>
    <s v="Aspire 5"/>
    <n v="2"/>
    <n v="73228"/>
    <n v="146456"/>
    <n v="73229"/>
    <s v="Charlie"/>
    <s v="Corporate"/>
  </r>
  <r>
    <s v="INV0121"/>
    <d v="2024-07-01T00:00:00"/>
    <n v="7"/>
    <s v="East"/>
    <x v="4"/>
    <s v="ROG Zephyrus"/>
    <n v="4"/>
    <n v="41542"/>
    <n v="166168"/>
    <n v="83086"/>
    <s v="Charlie"/>
    <s v="Retail"/>
  </r>
  <r>
    <s v="INV0122"/>
    <d v="2024-07-02T00:00:00"/>
    <n v="7"/>
    <s v="North"/>
    <x v="5"/>
    <s v="iPad Mini"/>
    <n v="1"/>
    <n v="90552"/>
    <n v="90552"/>
    <n v="45276.5"/>
    <s v="Bob"/>
    <s v="Corporate"/>
  </r>
  <r>
    <s v="INV0123"/>
    <d v="2024-07-03T00:00:00"/>
    <n v="7"/>
    <s v="East"/>
    <x v="4"/>
    <s v="VivoBook"/>
    <n v="4"/>
    <n v="36764"/>
    <n v="147056"/>
    <n v="73530"/>
    <s v="Eva"/>
    <s v="Retail"/>
  </r>
  <r>
    <s v="INV0124"/>
    <d v="2024-07-04T00:00:00"/>
    <n v="7"/>
    <s v="Central"/>
    <x v="2"/>
    <s v="Envy"/>
    <n v="4"/>
    <n v="45915"/>
    <n v="183660"/>
    <n v="91832"/>
    <s v="Bob"/>
    <s v="Retail"/>
  </r>
  <r>
    <s v="INV0125"/>
    <d v="2024-07-05T00:00:00"/>
    <n v="7"/>
    <s v="South"/>
    <x v="2"/>
    <s v="Spectre"/>
    <n v="1"/>
    <n v="83476"/>
    <n v="83476"/>
    <n v="41738.5"/>
    <s v="Alice"/>
    <s v="Corporate"/>
  </r>
  <r>
    <s v="INV0126"/>
    <d v="2024-07-06T00:00:00"/>
    <n v="7"/>
    <s v="Central"/>
    <x v="1"/>
    <s v="Legion 5"/>
    <n v="2"/>
    <n v="95323"/>
    <n v="190646"/>
    <n v="95324"/>
    <s v="Frank"/>
    <s v="Corporate"/>
  </r>
  <r>
    <s v="INV0127"/>
    <d v="2024-07-07T00:00:00"/>
    <n v="7"/>
    <s v="Central"/>
    <x v="5"/>
    <s v="iPad Pro"/>
    <n v="4"/>
    <n v="61946"/>
    <n v="247784"/>
    <n v="123894"/>
    <s v="Bob"/>
    <s v="Corporate"/>
  </r>
  <r>
    <s v="INV0128"/>
    <d v="2024-07-08T00:00:00"/>
    <n v="7"/>
    <s v="East"/>
    <x v="3"/>
    <s v="G15"/>
    <n v="5"/>
    <n v="47892"/>
    <n v="239460"/>
    <n v="119732.5"/>
    <s v="David"/>
    <s v="Corporate"/>
  </r>
  <r>
    <s v="INV0129"/>
    <d v="2024-07-09T00:00:00"/>
    <n v="7"/>
    <s v="Central"/>
    <x v="4"/>
    <s v="VivoBook"/>
    <n v="1"/>
    <n v="67072"/>
    <n v="67072"/>
    <n v="33536.5"/>
    <s v="Eva"/>
    <s v="Corporate"/>
  </r>
  <r>
    <s v="INV0130"/>
    <d v="2024-07-10T00:00:00"/>
    <n v="7"/>
    <s v="East"/>
    <x v="3"/>
    <s v="Inspiron 15"/>
    <n v="5"/>
    <n v="93483"/>
    <n v="467415"/>
    <n v="233710"/>
    <s v="Eva"/>
    <s v="Corporate"/>
  </r>
  <r>
    <s v="INV0131"/>
    <d v="2024-07-11T00:00:00"/>
    <n v="7"/>
    <s v="West"/>
    <x v="5"/>
    <s v="iPad Pro"/>
    <n v="2"/>
    <n v="61300"/>
    <n v="122600"/>
    <n v="61301"/>
    <s v="Bob"/>
    <s v="Corporate"/>
  </r>
  <r>
    <s v="INV0132"/>
    <d v="2024-07-12T00:00:00"/>
    <n v="7"/>
    <s v="South"/>
    <x v="1"/>
    <s v="IdeaPad 3"/>
    <n v="4"/>
    <n v="79968"/>
    <n v="319872"/>
    <n v="159938"/>
    <s v="David"/>
    <s v="Retail"/>
  </r>
  <r>
    <s v="INV0133"/>
    <d v="2024-07-13T00:00:00"/>
    <n v="7"/>
    <s v="West"/>
    <x v="3"/>
    <s v="G15"/>
    <n v="5"/>
    <n v="73515"/>
    <n v="367575"/>
    <n v="183790"/>
    <s v="Alice"/>
    <s v="Corporate"/>
  </r>
  <r>
    <s v="INV0134"/>
    <d v="2024-07-14T00:00:00"/>
    <n v="7"/>
    <s v="South"/>
    <x v="1"/>
    <s v="Legion 5"/>
    <n v="2"/>
    <n v="83736"/>
    <n v="167472"/>
    <n v="83737"/>
    <s v="Alice"/>
    <s v="Corporate"/>
  </r>
  <r>
    <s v="INV0135"/>
    <d v="2024-07-15T00:00:00"/>
    <n v="7"/>
    <s v="North"/>
    <x v="2"/>
    <s v="Envy"/>
    <n v="5"/>
    <n v="82098"/>
    <n v="410490"/>
    <n v="205247.5"/>
    <s v="Charlie"/>
    <s v="Corporate"/>
  </r>
  <r>
    <s v="INV0136"/>
    <d v="2024-07-16T00:00:00"/>
    <n v="7"/>
    <s v="North"/>
    <x v="2"/>
    <s v="Spectre"/>
    <n v="4"/>
    <n v="34705"/>
    <n v="138820"/>
    <n v="69412"/>
    <s v="Bob"/>
    <s v="Corporate"/>
  </r>
  <r>
    <s v="INV0137"/>
    <d v="2024-07-17T00:00:00"/>
    <n v="7"/>
    <s v="North"/>
    <x v="3"/>
    <s v="G15"/>
    <n v="1"/>
    <n v="86881"/>
    <n v="86881"/>
    <n v="43441"/>
    <s v="David"/>
    <s v="Retail"/>
  </r>
  <r>
    <s v="INV0138"/>
    <d v="2024-07-18T00:00:00"/>
    <n v="7"/>
    <s v="North"/>
    <x v="0"/>
    <s v="Nitro 5"/>
    <n v="1"/>
    <n v="36028"/>
    <n v="36028"/>
    <n v="18014.5"/>
    <s v="Charlie"/>
    <s v="Corporate"/>
  </r>
  <r>
    <s v="INV0139"/>
    <d v="2024-07-19T00:00:00"/>
    <n v="7"/>
    <s v="West"/>
    <x v="2"/>
    <s v="Envy"/>
    <n v="2"/>
    <n v="62007"/>
    <n v="124014"/>
    <n v="62008"/>
    <s v="Eva"/>
    <s v="Retail"/>
  </r>
  <r>
    <s v="INV0140"/>
    <d v="2024-07-20T00:00:00"/>
    <n v="7"/>
    <s v="South"/>
    <x v="3"/>
    <s v="XPS 13"/>
    <n v="1"/>
    <n v="80140"/>
    <n v="80140"/>
    <n v="40070.5"/>
    <s v="David"/>
    <s v="Retail"/>
  </r>
  <r>
    <s v="INV0141"/>
    <d v="2024-07-21T00:00:00"/>
    <n v="7"/>
    <s v="North"/>
    <x v="3"/>
    <s v="Inspiron 15"/>
    <n v="3"/>
    <n v="90236"/>
    <n v="270708"/>
    <n v="135355.5"/>
    <s v="David"/>
    <s v="Corporate"/>
  </r>
  <r>
    <s v="INV0142"/>
    <d v="2024-07-22T00:00:00"/>
    <n v="7"/>
    <s v="East"/>
    <x v="0"/>
    <s v="Swift 3"/>
    <n v="2"/>
    <n v="39681"/>
    <n v="79362"/>
    <n v="39682"/>
    <s v="Eva"/>
    <s v="Corporate"/>
  </r>
  <r>
    <s v="INV0143"/>
    <d v="2024-07-23T00:00:00"/>
    <n v="7"/>
    <s v="South"/>
    <x v="0"/>
    <s v="Nitro 5"/>
    <n v="3"/>
    <n v="89878"/>
    <n v="269634"/>
    <n v="134818.5"/>
    <s v="David"/>
    <s v="Corporate"/>
  </r>
  <r>
    <s v="INV0144"/>
    <d v="2024-07-24T00:00:00"/>
    <n v="7"/>
    <s v="East"/>
    <x v="1"/>
    <s v="ThinkPad X1"/>
    <n v="4"/>
    <n v="77049"/>
    <n v="308196"/>
    <n v="154100"/>
    <s v="Frank"/>
    <s v="Corporate"/>
  </r>
  <r>
    <s v="INV0145"/>
    <d v="2024-07-25T00:00:00"/>
    <n v="7"/>
    <s v="Central"/>
    <x v="1"/>
    <s v="Legion 5"/>
    <n v="4"/>
    <n v="65976"/>
    <n v="263904"/>
    <n v="131954"/>
    <s v="Frank"/>
    <s v="Retail"/>
  </r>
  <r>
    <s v="INV0146"/>
    <d v="2024-07-26T00:00:00"/>
    <n v="7"/>
    <s v="Central"/>
    <x v="4"/>
    <s v="ZenBook"/>
    <n v="4"/>
    <n v="67512"/>
    <n v="270048"/>
    <n v="135026"/>
    <s v="Charlie"/>
    <s v="Retail"/>
  </r>
  <r>
    <s v="INV0147"/>
    <d v="2024-07-27T00:00:00"/>
    <n v="7"/>
    <s v="South"/>
    <x v="0"/>
    <s v="Aspire 5"/>
    <n v="5"/>
    <n v="62850"/>
    <n v="314250"/>
    <n v="157127.5"/>
    <s v="Frank"/>
    <s v="Retail"/>
  </r>
  <r>
    <s v="INV0148"/>
    <d v="2024-07-28T00:00:00"/>
    <n v="7"/>
    <s v="North"/>
    <x v="0"/>
    <s v="Swift 3"/>
    <n v="1"/>
    <n v="70492"/>
    <n v="70492"/>
    <n v="35246.5"/>
    <s v="Eva"/>
    <s v="Corporate"/>
  </r>
  <r>
    <s v="INV0149"/>
    <d v="2024-07-29T00:00:00"/>
    <n v="7"/>
    <s v="West"/>
    <x v="0"/>
    <s v="Aspire 5"/>
    <n v="1"/>
    <n v="68680"/>
    <n v="68680"/>
    <n v="34340.5"/>
    <s v="Bob"/>
    <s v="Retail"/>
  </r>
  <r>
    <s v="INV0150"/>
    <d v="2024-07-30T00:00:00"/>
    <n v="7"/>
    <s v="East"/>
    <x v="3"/>
    <s v="G15"/>
    <n v="3"/>
    <n v="99579"/>
    <n v="298737"/>
    <n v="149370"/>
    <s v="Bob"/>
    <s v="Corporate"/>
  </r>
  <r>
    <s v="INV0151"/>
    <d v="2024-07-31T00:00:00"/>
    <n v="7"/>
    <s v="North"/>
    <x v="5"/>
    <s v="iPad Pro"/>
    <n v="3"/>
    <n v="45095"/>
    <n v="135285"/>
    <n v="67644"/>
    <s v="Bob"/>
    <s v="Retail"/>
  </r>
  <r>
    <s v="INV0152"/>
    <d v="2024-08-01T00:00:00"/>
    <n v="8"/>
    <s v="West"/>
    <x v="0"/>
    <s v="Swift 3"/>
    <n v="4"/>
    <n v="77942"/>
    <n v="311768"/>
    <n v="155886"/>
    <s v="Alice"/>
    <s v="Corporate"/>
  </r>
  <r>
    <s v="INV0153"/>
    <d v="2024-08-02T00:00:00"/>
    <n v="8"/>
    <s v="East"/>
    <x v="4"/>
    <s v="ROG Zephyrus"/>
    <n v="4"/>
    <n v="78311"/>
    <n v="313244"/>
    <n v="156624"/>
    <s v="Eva"/>
    <s v="Corporate"/>
  </r>
  <r>
    <s v="INV0154"/>
    <d v="2024-08-03T00:00:00"/>
    <n v="8"/>
    <s v="North"/>
    <x v="0"/>
    <s v="Nitro 5"/>
    <n v="1"/>
    <n v="60647"/>
    <n v="60647"/>
    <n v="30324"/>
    <s v="Eva"/>
    <s v="Corporate"/>
  </r>
  <r>
    <s v="INV0155"/>
    <d v="2024-08-04T00:00:00"/>
    <n v="8"/>
    <s v="East"/>
    <x v="4"/>
    <s v="ROG Zephyrus"/>
    <n v="1"/>
    <n v="90852"/>
    <n v="90852"/>
    <n v="45426.5"/>
    <s v="Frank"/>
    <s v="Corporate"/>
  </r>
  <r>
    <s v="INV0156"/>
    <d v="2024-08-05T00:00:00"/>
    <n v="8"/>
    <s v="West"/>
    <x v="1"/>
    <s v="ThinkPad X1"/>
    <n v="1"/>
    <n v="34877"/>
    <n v="34877"/>
    <n v="17439"/>
    <s v="Alice"/>
    <s v="Retail"/>
  </r>
  <r>
    <s v="INV0157"/>
    <d v="2024-08-06T00:00:00"/>
    <n v="8"/>
    <s v="East"/>
    <x v="3"/>
    <s v="G15"/>
    <n v="2"/>
    <n v="80940"/>
    <n v="161880"/>
    <n v="80941"/>
    <s v="Frank"/>
    <s v="Corporate"/>
  </r>
  <r>
    <s v="INV0158"/>
    <d v="2024-08-07T00:00:00"/>
    <n v="8"/>
    <s v="North"/>
    <x v="4"/>
    <s v="ZenBook"/>
    <n v="2"/>
    <n v="84379"/>
    <n v="168758"/>
    <n v="84380"/>
    <s v="David"/>
    <s v="Corporate"/>
  </r>
  <r>
    <s v="INV0159"/>
    <d v="2024-08-08T00:00:00"/>
    <n v="8"/>
    <s v="West"/>
    <x v="2"/>
    <s v="Pavilion"/>
    <n v="3"/>
    <n v="58477"/>
    <n v="175431"/>
    <n v="87717"/>
    <s v="Bob"/>
    <s v="Corporate"/>
  </r>
  <r>
    <s v="INV0160"/>
    <d v="2024-08-09T00:00:00"/>
    <n v="8"/>
    <s v="West"/>
    <x v="1"/>
    <s v="Legion 5"/>
    <n v="3"/>
    <n v="77012"/>
    <n v="231036"/>
    <n v="115519.5"/>
    <s v="Charlie"/>
    <s v="Retail"/>
  </r>
  <r>
    <s v="INV0161"/>
    <d v="2024-08-10T00:00:00"/>
    <n v="8"/>
    <s v="Central"/>
    <x v="1"/>
    <s v="IdeaPad 3"/>
    <n v="1"/>
    <n v="57801"/>
    <n v="57801"/>
    <n v="28901"/>
    <s v="Alice"/>
    <s v="Retail"/>
  </r>
  <r>
    <s v="INV0162"/>
    <d v="2024-08-11T00:00:00"/>
    <n v="8"/>
    <s v="Central"/>
    <x v="2"/>
    <s v="Pavilion"/>
    <n v="2"/>
    <n v="56896"/>
    <n v="113792"/>
    <n v="56897"/>
    <s v="Bob"/>
    <s v="Retail"/>
  </r>
  <r>
    <s v="INV0163"/>
    <d v="2024-08-12T00:00:00"/>
    <n v="8"/>
    <s v="South"/>
    <x v="3"/>
    <s v="Inspiron 15"/>
    <n v="2"/>
    <n v="30371"/>
    <n v="60742"/>
    <n v="30372"/>
    <s v="Bob"/>
    <s v="Corporate"/>
  </r>
  <r>
    <s v="INV0164"/>
    <d v="2024-08-13T00:00:00"/>
    <n v="8"/>
    <s v="East"/>
    <x v="3"/>
    <s v="XPS 13"/>
    <n v="1"/>
    <n v="47275"/>
    <n v="47275"/>
    <n v="23638"/>
    <s v="Bob"/>
    <s v="Corporate"/>
  </r>
  <r>
    <s v="INV0165"/>
    <d v="2024-08-14T00:00:00"/>
    <n v="8"/>
    <s v="West"/>
    <x v="1"/>
    <s v="ThinkPad X1"/>
    <n v="3"/>
    <n v="36868"/>
    <n v="110604"/>
    <n v="55303.5"/>
    <s v="Eva"/>
    <s v="Retail"/>
  </r>
  <r>
    <s v="INV0166"/>
    <d v="2024-08-15T00:00:00"/>
    <n v="8"/>
    <s v="Central"/>
    <x v="0"/>
    <s v="Aspire 5"/>
    <n v="4"/>
    <n v="88756"/>
    <n v="355024"/>
    <n v="177514"/>
    <s v="Eva"/>
    <s v="Retail"/>
  </r>
  <r>
    <s v="INV0167"/>
    <d v="2024-08-16T00:00:00"/>
    <n v="8"/>
    <s v="Central"/>
    <x v="5"/>
    <s v="iPad Mini"/>
    <n v="2"/>
    <n v="35683"/>
    <n v="71366"/>
    <n v="35684"/>
    <s v="Charlie"/>
    <s v="Corporate"/>
  </r>
  <r>
    <s v="INV0168"/>
    <d v="2024-08-17T00:00:00"/>
    <n v="8"/>
    <s v="West"/>
    <x v="0"/>
    <s v="Aspire 5"/>
    <n v="1"/>
    <n v="92781"/>
    <n v="92781"/>
    <n v="46391"/>
    <s v="Frank"/>
    <s v="Retail"/>
  </r>
  <r>
    <s v="INV0169"/>
    <d v="2024-08-18T00:00:00"/>
    <n v="8"/>
    <s v="East"/>
    <x v="5"/>
    <s v="iPad Mini"/>
    <n v="4"/>
    <n v="39632"/>
    <n v="158528"/>
    <n v="79266"/>
    <s v="Eva"/>
    <s v="Retail"/>
  </r>
  <r>
    <s v="INV0170"/>
    <d v="2024-08-19T00:00:00"/>
    <n v="8"/>
    <s v="Central"/>
    <x v="1"/>
    <s v="ThinkPad X1"/>
    <n v="3"/>
    <n v="72622"/>
    <n v="217866"/>
    <n v="108934.5"/>
    <s v="Eva"/>
    <s v="Corporate"/>
  </r>
  <r>
    <s v="INV0171"/>
    <d v="2024-08-20T00:00:00"/>
    <n v="8"/>
    <s v="North"/>
    <x v="5"/>
    <s v="iPad Mini"/>
    <n v="5"/>
    <n v="86387"/>
    <n v="431935"/>
    <n v="215970"/>
    <s v="Frank"/>
    <s v="Retail"/>
  </r>
  <r>
    <s v="INV0172"/>
    <d v="2024-08-21T00:00:00"/>
    <n v="8"/>
    <s v="West"/>
    <x v="5"/>
    <s v="iPad Pro"/>
    <n v="2"/>
    <n v="84239"/>
    <n v="168478"/>
    <n v="84240"/>
    <s v="David"/>
    <s v="Corporate"/>
  </r>
  <r>
    <s v="INV0173"/>
    <d v="2024-08-22T00:00:00"/>
    <n v="8"/>
    <s v="East"/>
    <x v="0"/>
    <s v="Aspire 5"/>
    <n v="3"/>
    <n v="85936"/>
    <n v="257808"/>
    <n v="128905.5"/>
    <s v="Charlie"/>
    <s v="Retail"/>
  </r>
  <r>
    <s v="INV0174"/>
    <d v="2024-08-23T00:00:00"/>
    <n v="8"/>
    <s v="North"/>
    <x v="0"/>
    <s v="Nitro 5"/>
    <n v="1"/>
    <n v="41957"/>
    <n v="41957"/>
    <n v="20979"/>
    <s v="David"/>
    <s v="Retail"/>
  </r>
  <r>
    <s v="INV0175"/>
    <d v="2024-08-24T00:00:00"/>
    <n v="8"/>
    <s v="North"/>
    <x v="0"/>
    <s v="Swift 3"/>
    <n v="3"/>
    <n v="47054"/>
    <n v="141162"/>
    <n v="70582.5"/>
    <s v="Eva"/>
    <s v="Corporate"/>
  </r>
  <r>
    <s v="INV0176"/>
    <d v="2024-08-25T00:00:00"/>
    <n v="8"/>
    <s v="West"/>
    <x v="0"/>
    <s v="Aspire 5"/>
    <n v="4"/>
    <n v="76346"/>
    <n v="305384"/>
    <n v="152694"/>
    <s v="Frank"/>
    <s v="Retail"/>
  </r>
  <r>
    <s v="INV0177"/>
    <d v="2024-08-26T00:00:00"/>
    <n v="8"/>
    <s v="Central"/>
    <x v="2"/>
    <s v="Spectre"/>
    <n v="3"/>
    <n v="76090"/>
    <n v="228270"/>
    <n v="114136.5"/>
    <s v="Eva"/>
    <s v="Retail"/>
  </r>
  <r>
    <s v="INV0178"/>
    <d v="2024-08-27T00:00:00"/>
    <n v="8"/>
    <s v="East"/>
    <x v="3"/>
    <s v="G15"/>
    <n v="4"/>
    <n v="59392"/>
    <n v="237568"/>
    <n v="118786"/>
    <s v="Eva"/>
    <s v="Corporate"/>
  </r>
  <r>
    <s v="INV0179"/>
    <d v="2024-08-28T00:00:00"/>
    <n v="8"/>
    <s v="Central"/>
    <x v="1"/>
    <s v="IdeaPad 3"/>
    <n v="5"/>
    <n v="59643"/>
    <n v="298215"/>
    <n v="149110"/>
    <s v="Eva"/>
    <s v="Retail"/>
  </r>
  <r>
    <s v="INV0180"/>
    <d v="2024-08-29T00:00:00"/>
    <n v="8"/>
    <s v="East"/>
    <x v="4"/>
    <s v="ZenBook"/>
    <n v="3"/>
    <n v="33794"/>
    <n v="101382"/>
    <n v="50692.5"/>
    <s v="Frank"/>
    <s v="Corporate"/>
  </r>
  <r>
    <s v="INV0181"/>
    <d v="2024-08-30T00:00:00"/>
    <n v="8"/>
    <s v="Central"/>
    <x v="2"/>
    <s v="Envy"/>
    <n v="1"/>
    <n v="53777"/>
    <n v="53777"/>
    <n v="26889"/>
    <s v="Frank"/>
    <s v="Corporate"/>
  </r>
  <r>
    <s v="INV0182"/>
    <d v="2024-08-31T00:00:00"/>
    <n v="8"/>
    <s v="South"/>
    <x v="1"/>
    <s v="ThinkPad X1"/>
    <n v="1"/>
    <n v="42026"/>
    <n v="42026"/>
    <n v="21013.5"/>
    <s v="David"/>
    <s v="Corporate"/>
  </r>
  <r>
    <s v="INV0183"/>
    <d v="2024-09-01T00:00:00"/>
    <n v="9"/>
    <s v="East"/>
    <x v="5"/>
    <s v="iPad Pro"/>
    <n v="2"/>
    <n v="78503"/>
    <n v="157006"/>
    <n v="78504"/>
    <s v="Eva"/>
    <s v="Retail"/>
  </r>
  <r>
    <s v="INV0184"/>
    <d v="2024-09-02T00:00:00"/>
    <n v="9"/>
    <s v="North"/>
    <x v="1"/>
    <s v="ThinkPad X1"/>
    <n v="2"/>
    <n v="36522"/>
    <n v="73044"/>
    <n v="36523"/>
    <s v="Charlie"/>
    <s v="Corporate"/>
  </r>
  <r>
    <s v="INV0185"/>
    <d v="2024-09-03T00:00:00"/>
    <n v="9"/>
    <s v="East"/>
    <x v="0"/>
    <s v="Nitro 5"/>
    <n v="4"/>
    <n v="87939"/>
    <n v="351756"/>
    <n v="175880"/>
    <s v="Bob"/>
    <s v="Retail"/>
  </r>
  <r>
    <s v="INV0186"/>
    <d v="2024-09-04T00:00:00"/>
    <n v="9"/>
    <s v="Central"/>
    <x v="2"/>
    <s v="Envy"/>
    <n v="1"/>
    <n v="67125"/>
    <n v="67125"/>
    <n v="33563"/>
    <s v="David"/>
    <s v="Corporate"/>
  </r>
  <r>
    <s v="INV0187"/>
    <d v="2024-09-05T00:00:00"/>
    <n v="9"/>
    <s v="South"/>
    <x v="1"/>
    <s v="ThinkPad X1"/>
    <n v="4"/>
    <n v="37180"/>
    <n v="148720"/>
    <n v="74362"/>
    <s v="Charlie"/>
    <s v="Retail"/>
  </r>
  <r>
    <s v="INV0188"/>
    <d v="2024-09-06T00:00:00"/>
    <n v="9"/>
    <s v="North"/>
    <x v="3"/>
    <s v="Inspiron 15"/>
    <n v="3"/>
    <n v="73007"/>
    <n v="219021"/>
    <n v="109512"/>
    <s v="David"/>
    <s v="Corporate"/>
  </r>
  <r>
    <s v="INV0189"/>
    <d v="2024-09-07T00:00:00"/>
    <n v="9"/>
    <s v="South"/>
    <x v="3"/>
    <s v="XPS 13"/>
    <n v="4"/>
    <n v="99806"/>
    <n v="399224"/>
    <n v="199614"/>
    <s v="Eva"/>
    <s v="Corporate"/>
  </r>
  <r>
    <s v="INV0190"/>
    <d v="2024-09-08T00:00:00"/>
    <n v="9"/>
    <s v="West"/>
    <x v="1"/>
    <s v="IdeaPad 3"/>
    <n v="1"/>
    <n v="87176"/>
    <n v="87176"/>
    <n v="43588.5"/>
    <s v="Alice"/>
    <s v="Corporate"/>
  </r>
  <r>
    <s v="INV0191"/>
    <d v="2024-09-09T00:00:00"/>
    <n v="9"/>
    <s v="West"/>
    <x v="4"/>
    <s v="VivoBook"/>
    <n v="5"/>
    <n v="83008"/>
    <n v="415040"/>
    <n v="207522.5"/>
    <s v="Charlie"/>
    <s v="Retail"/>
  </r>
  <r>
    <s v="INV0192"/>
    <d v="2024-09-10T00:00:00"/>
    <n v="9"/>
    <s v="West"/>
    <x v="5"/>
    <s v="iPad Air"/>
    <n v="3"/>
    <n v="52527"/>
    <n v="157581"/>
    <n v="78792"/>
    <s v="Frank"/>
    <s v="Corporate"/>
  </r>
  <r>
    <s v="INV0193"/>
    <d v="2024-09-11T00:00:00"/>
    <n v="9"/>
    <s v="Central"/>
    <x v="1"/>
    <s v="IdeaPad 3"/>
    <n v="1"/>
    <n v="61891"/>
    <n v="61891"/>
    <n v="30946"/>
    <s v="David"/>
    <s v="Retail"/>
  </r>
  <r>
    <s v="INV0194"/>
    <d v="2024-09-12T00:00:00"/>
    <n v="9"/>
    <s v="South"/>
    <x v="5"/>
    <s v="iPad Pro"/>
    <n v="3"/>
    <n v="59041"/>
    <n v="177123"/>
    <n v="88563"/>
    <s v="Alice"/>
    <s v="Retail"/>
  </r>
  <r>
    <s v="INV0195"/>
    <d v="2024-09-13T00:00:00"/>
    <n v="9"/>
    <s v="South"/>
    <x v="4"/>
    <s v="ZenBook"/>
    <n v="2"/>
    <n v="75793"/>
    <n v="151586"/>
    <n v="75794"/>
    <s v="Bob"/>
    <s v="Retail"/>
  </r>
  <r>
    <s v="INV0196"/>
    <d v="2024-09-14T00:00:00"/>
    <n v="9"/>
    <s v="South"/>
    <x v="3"/>
    <s v="Inspiron 15"/>
    <n v="2"/>
    <n v="52740"/>
    <n v="105480"/>
    <n v="52741"/>
    <s v="Frank"/>
    <s v="Retail"/>
  </r>
  <r>
    <s v="INV0197"/>
    <d v="2024-09-15T00:00:00"/>
    <n v="9"/>
    <s v="Central"/>
    <x v="3"/>
    <s v="G15"/>
    <n v="4"/>
    <n v="90811"/>
    <n v="363244"/>
    <n v="181624"/>
    <s v="David"/>
    <s v="Corporate"/>
  </r>
  <r>
    <s v="INV0198"/>
    <d v="2024-09-16T00:00:00"/>
    <n v="9"/>
    <s v="West"/>
    <x v="0"/>
    <s v="Nitro 5"/>
    <n v="2"/>
    <n v="87640"/>
    <n v="175280"/>
    <n v="87641"/>
    <s v="David"/>
    <s v="Corporate"/>
  </r>
  <r>
    <s v="INV0199"/>
    <d v="2024-09-17T00:00:00"/>
    <n v="9"/>
    <s v="North"/>
    <x v="2"/>
    <s v="Spectre"/>
    <n v="1"/>
    <n v="76129"/>
    <n v="76129"/>
    <n v="38065"/>
    <s v="Charlie"/>
    <s v="Corporate"/>
  </r>
  <r>
    <s v="INV0200"/>
    <d v="2024-09-18T00:00:00"/>
    <n v="9"/>
    <s v="North"/>
    <x v="5"/>
    <s v="iPad Air"/>
    <n v="1"/>
    <n v="78331"/>
    <n v="78331"/>
    <n v="39166"/>
    <s v="Frank"/>
    <s v="Retail"/>
  </r>
  <r>
    <m/>
    <m/>
    <m/>
    <m/>
    <x v="6"/>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INV0001"/>
    <d v="2024-03-03T00:00:00"/>
    <n v="3"/>
    <x v="0"/>
    <x v="0"/>
    <s v="Aspire 5"/>
    <n v="1"/>
    <n v="66048"/>
    <n v="66048"/>
    <n v="33024.5"/>
    <s v="Bob"/>
    <s v="Retail"/>
  </r>
  <r>
    <s v="INV0002"/>
    <d v="2024-03-04T00:00:00"/>
    <n v="3"/>
    <x v="1"/>
    <x v="0"/>
    <s v="Swift 3"/>
    <n v="5"/>
    <n v="41395"/>
    <n v="206975"/>
    <n v="103490"/>
    <s v="Alice"/>
    <s v="Retail"/>
  </r>
  <r>
    <s v="INV0003"/>
    <d v="2024-03-05T00:00:00"/>
    <n v="3"/>
    <x v="2"/>
    <x v="1"/>
    <s v="ThinkPad X1"/>
    <n v="2"/>
    <n v="96237"/>
    <n v="192474"/>
    <n v="96238"/>
    <s v="Eva"/>
    <s v="Retail"/>
  </r>
  <r>
    <s v="INV0004"/>
    <d v="2024-03-06T00:00:00"/>
    <n v="3"/>
    <x v="1"/>
    <x v="0"/>
    <s v="Swift 3"/>
    <n v="5"/>
    <n v="84987"/>
    <n v="424935"/>
    <n v="212470"/>
    <s v="Eva"/>
    <s v="Corporate"/>
  </r>
  <r>
    <s v="INV0005"/>
    <d v="2024-03-07T00:00:00"/>
    <n v="3"/>
    <x v="0"/>
    <x v="1"/>
    <s v="ThinkPad X1"/>
    <n v="4"/>
    <n v="74597"/>
    <n v="298388"/>
    <n v="149196"/>
    <s v="Bob"/>
    <s v="Corporate"/>
  </r>
  <r>
    <s v="INV0006"/>
    <d v="2024-03-08T00:00:00"/>
    <n v="3"/>
    <x v="3"/>
    <x v="1"/>
    <s v="ThinkPad X1"/>
    <n v="4"/>
    <n v="42676"/>
    <n v="170704"/>
    <n v="85354"/>
    <s v="Eva"/>
    <s v="Corporate"/>
  </r>
  <r>
    <s v="INV0007"/>
    <d v="2024-03-09T00:00:00"/>
    <n v="3"/>
    <x v="2"/>
    <x v="1"/>
    <s v="Legion 5"/>
    <n v="4"/>
    <n v="46361"/>
    <n v="185444"/>
    <n v="92724"/>
    <s v="Eva"/>
    <s v="Corporate"/>
  </r>
  <r>
    <s v="INV0008"/>
    <d v="2024-03-10T00:00:00"/>
    <n v="3"/>
    <x v="2"/>
    <x v="0"/>
    <s v="Swift 3"/>
    <n v="3"/>
    <n v="55203"/>
    <n v="165609"/>
    <n v="82806"/>
    <s v="Alice"/>
    <s v="Retail"/>
  </r>
  <r>
    <s v="INV0009"/>
    <d v="2024-03-11T00:00:00"/>
    <n v="3"/>
    <x v="3"/>
    <x v="2"/>
    <s v="Pavilion"/>
    <n v="2"/>
    <n v="43238"/>
    <n v="86476"/>
    <n v="43239"/>
    <s v="David"/>
    <s v="Corporate"/>
  </r>
  <r>
    <s v="INV0010"/>
    <d v="2024-03-12T00:00:00"/>
    <n v="3"/>
    <x v="3"/>
    <x v="3"/>
    <s v="Inspiron 15"/>
    <n v="3"/>
    <n v="57460"/>
    <n v="172380"/>
    <n v="86191.5"/>
    <s v="Frank"/>
    <s v="Retail"/>
  </r>
  <r>
    <s v="INV0011"/>
    <d v="2024-03-13T00:00:00"/>
    <n v="3"/>
    <x v="1"/>
    <x v="4"/>
    <s v="ZenBook"/>
    <n v="2"/>
    <n v="62087"/>
    <n v="124174"/>
    <n v="62088"/>
    <s v="David"/>
    <s v="Corporate"/>
  </r>
  <r>
    <s v="INV0012"/>
    <d v="2024-03-14T00:00:00"/>
    <n v="3"/>
    <x v="3"/>
    <x v="0"/>
    <s v="Swift 3"/>
    <n v="5"/>
    <n v="58785"/>
    <n v="293925"/>
    <n v="146965"/>
    <s v="Alice"/>
    <s v="Retail"/>
  </r>
  <r>
    <s v="INV0013"/>
    <d v="2024-03-15T00:00:00"/>
    <n v="3"/>
    <x v="0"/>
    <x v="1"/>
    <s v="IdeaPad 3"/>
    <n v="4"/>
    <n v="65093"/>
    <n v="260372"/>
    <n v="130188"/>
    <s v="Eva"/>
    <s v="Corporate"/>
  </r>
  <r>
    <s v="INV0014"/>
    <d v="2024-03-16T00:00:00"/>
    <n v="3"/>
    <x v="1"/>
    <x v="3"/>
    <s v="G15"/>
    <n v="4"/>
    <n v="81856"/>
    <n v="327424"/>
    <n v="163714"/>
    <s v="Bob"/>
    <s v="Corporate"/>
  </r>
  <r>
    <s v="INV0015"/>
    <d v="2024-03-17T00:00:00"/>
    <n v="3"/>
    <x v="1"/>
    <x v="3"/>
    <s v="XPS 13"/>
    <n v="5"/>
    <n v="64438"/>
    <n v="322190"/>
    <n v="161097.5"/>
    <s v="Eva"/>
    <s v="Corporate"/>
  </r>
  <r>
    <s v="INV0016"/>
    <d v="2024-03-18T00:00:00"/>
    <n v="3"/>
    <x v="2"/>
    <x v="2"/>
    <s v="Pavilion"/>
    <n v="2"/>
    <n v="96784"/>
    <n v="193568"/>
    <n v="96785"/>
    <s v="Alice"/>
    <s v="Retail"/>
  </r>
  <r>
    <s v="INV0017"/>
    <d v="2024-03-19T00:00:00"/>
    <n v="3"/>
    <x v="2"/>
    <x v="3"/>
    <s v="G15"/>
    <n v="2"/>
    <n v="85333"/>
    <n v="170666"/>
    <n v="85334"/>
    <s v="David"/>
    <s v="Corporate"/>
  </r>
  <r>
    <s v="INV0018"/>
    <d v="2024-03-20T00:00:00"/>
    <n v="3"/>
    <x v="2"/>
    <x v="4"/>
    <s v="VivoBook"/>
    <n v="5"/>
    <n v="62953"/>
    <n v="314765"/>
    <n v="157385"/>
    <s v="Frank"/>
    <s v="Retail"/>
  </r>
  <r>
    <s v="INV0019"/>
    <d v="2024-03-21T00:00:00"/>
    <n v="3"/>
    <x v="3"/>
    <x v="0"/>
    <s v="Swift 3"/>
    <n v="3"/>
    <n v="74587"/>
    <n v="223761"/>
    <n v="111882"/>
    <s v="David"/>
    <s v="Retail"/>
  </r>
  <r>
    <s v="INV0020"/>
    <d v="2024-03-22T00:00:00"/>
    <n v="3"/>
    <x v="4"/>
    <x v="5"/>
    <s v="iPad Air"/>
    <n v="3"/>
    <n v="95612"/>
    <n v="286836"/>
    <n v="143419.5"/>
    <s v="Alice"/>
    <s v="Corporate"/>
  </r>
  <r>
    <s v="INV0021"/>
    <d v="2024-03-23T00:00:00"/>
    <n v="3"/>
    <x v="3"/>
    <x v="0"/>
    <s v="Swift 3"/>
    <n v="5"/>
    <n v="56071"/>
    <n v="280355"/>
    <n v="140180"/>
    <s v="Bob"/>
    <s v="Retail"/>
  </r>
  <r>
    <s v="INV0022"/>
    <d v="2024-03-24T00:00:00"/>
    <n v="3"/>
    <x v="3"/>
    <x v="4"/>
    <s v="VivoBook"/>
    <n v="4"/>
    <n v="32552"/>
    <n v="130208"/>
    <n v="65106"/>
    <s v="Charlie"/>
    <s v="Retail"/>
  </r>
  <r>
    <s v="INV0023"/>
    <d v="2024-03-25T00:00:00"/>
    <n v="3"/>
    <x v="1"/>
    <x v="1"/>
    <s v="ThinkPad X1"/>
    <n v="5"/>
    <n v="40322"/>
    <n v="201610"/>
    <n v="100807.5"/>
    <s v="Alice"/>
    <s v="Retail"/>
  </r>
  <r>
    <s v="INV0024"/>
    <d v="2024-03-26T00:00:00"/>
    <n v="3"/>
    <x v="4"/>
    <x v="3"/>
    <s v="G15"/>
    <n v="4"/>
    <n v="51643"/>
    <n v="206572"/>
    <n v="103288"/>
    <s v="Eva"/>
    <s v="Corporate"/>
  </r>
  <r>
    <s v="INV0025"/>
    <d v="2024-03-27T00:00:00"/>
    <n v="3"/>
    <x v="3"/>
    <x v="3"/>
    <s v="G15"/>
    <n v="2"/>
    <n v="70857"/>
    <n v="141714"/>
    <n v="70858"/>
    <s v="David"/>
    <s v="Corporate"/>
  </r>
  <r>
    <s v="INV0026"/>
    <d v="2024-03-28T00:00:00"/>
    <n v="3"/>
    <x v="2"/>
    <x v="1"/>
    <s v="ThinkPad X1"/>
    <n v="2"/>
    <n v="38392"/>
    <n v="76784"/>
    <n v="38393"/>
    <s v="Eva"/>
    <s v="Retail"/>
  </r>
  <r>
    <s v="INV0027"/>
    <d v="2024-03-29T00:00:00"/>
    <n v="3"/>
    <x v="2"/>
    <x v="4"/>
    <s v="ROG Zephyrus"/>
    <n v="1"/>
    <n v="39305"/>
    <n v="39305"/>
    <n v="19653"/>
    <s v="Bob"/>
    <s v="Retail"/>
  </r>
  <r>
    <s v="INV0028"/>
    <d v="2024-03-30T00:00:00"/>
    <n v="3"/>
    <x v="3"/>
    <x v="1"/>
    <s v="IdeaPad 3"/>
    <n v="1"/>
    <n v="97391"/>
    <n v="97391"/>
    <n v="48696"/>
    <s v="Frank"/>
    <s v="Corporate"/>
  </r>
  <r>
    <s v="INV0029"/>
    <d v="2024-03-31T00:00:00"/>
    <n v="3"/>
    <x v="1"/>
    <x v="3"/>
    <s v="G15"/>
    <n v="2"/>
    <n v="91953"/>
    <n v="183906"/>
    <n v="91954"/>
    <s v="David"/>
    <s v="Retail"/>
  </r>
  <r>
    <s v="INV0030"/>
    <d v="2024-04-01T00:00:00"/>
    <n v="4"/>
    <x v="1"/>
    <x v="1"/>
    <s v="ThinkPad X1"/>
    <n v="4"/>
    <n v="76438"/>
    <n v="305752"/>
    <n v="152878"/>
    <s v="David"/>
    <s v="Retail"/>
  </r>
  <r>
    <s v="INV0031"/>
    <d v="2024-04-02T00:00:00"/>
    <n v="4"/>
    <x v="3"/>
    <x v="0"/>
    <s v="Swift 3"/>
    <n v="1"/>
    <n v="37944"/>
    <n v="37944"/>
    <n v="18972.5"/>
    <s v="Alice"/>
    <s v="Retail"/>
  </r>
  <r>
    <s v="INV0032"/>
    <d v="2024-04-03T00:00:00"/>
    <n v="4"/>
    <x v="1"/>
    <x v="3"/>
    <s v="XPS 13"/>
    <n v="5"/>
    <n v="88800"/>
    <n v="444000"/>
    <n v="222002.5"/>
    <s v="Bob"/>
    <s v="Corporate"/>
  </r>
  <r>
    <s v="INV0033"/>
    <d v="2024-04-04T00:00:00"/>
    <n v="4"/>
    <x v="2"/>
    <x v="5"/>
    <s v="iPad Air"/>
    <n v="1"/>
    <n v="88082"/>
    <n v="88082"/>
    <n v="44041.5"/>
    <s v="Alice"/>
    <s v="Retail"/>
  </r>
  <r>
    <s v="INV0034"/>
    <d v="2024-04-05T00:00:00"/>
    <n v="4"/>
    <x v="1"/>
    <x v="1"/>
    <s v="ThinkPad X1"/>
    <n v="2"/>
    <n v="83269"/>
    <n v="166538"/>
    <n v="83270"/>
    <s v="Bob"/>
    <s v="Corporate"/>
  </r>
  <r>
    <s v="INV0035"/>
    <d v="2024-04-06T00:00:00"/>
    <n v="4"/>
    <x v="3"/>
    <x v="1"/>
    <s v="ThinkPad X1"/>
    <n v="4"/>
    <n v="30282"/>
    <n v="121128"/>
    <n v="60566"/>
    <s v="David"/>
    <s v="Corporate"/>
  </r>
  <r>
    <s v="INV0036"/>
    <d v="2024-04-07T00:00:00"/>
    <n v="4"/>
    <x v="0"/>
    <x v="5"/>
    <s v="iPad Mini"/>
    <n v="5"/>
    <n v="93788"/>
    <n v="468940"/>
    <n v="234472.5"/>
    <s v="Charlie"/>
    <s v="Retail"/>
  </r>
  <r>
    <s v="INV0037"/>
    <d v="2024-04-08T00:00:00"/>
    <n v="4"/>
    <x v="2"/>
    <x v="1"/>
    <s v="Legion 5"/>
    <n v="5"/>
    <n v="37989"/>
    <n v="189945"/>
    <n v="94975"/>
    <s v="Alice"/>
    <s v="Corporate"/>
  </r>
  <r>
    <s v="INV0038"/>
    <d v="2024-04-09T00:00:00"/>
    <n v="4"/>
    <x v="2"/>
    <x v="4"/>
    <s v="ZenBook"/>
    <n v="2"/>
    <n v="37455"/>
    <n v="74910"/>
    <n v="37456"/>
    <s v="Bob"/>
    <s v="Retail"/>
  </r>
  <r>
    <s v="INV0039"/>
    <d v="2024-04-10T00:00:00"/>
    <n v="4"/>
    <x v="4"/>
    <x v="4"/>
    <s v="ROG Zephyrus"/>
    <n v="2"/>
    <n v="82923"/>
    <n v="165846"/>
    <n v="82924"/>
    <s v="Bob"/>
    <s v="Retail"/>
  </r>
  <r>
    <s v="INV0040"/>
    <d v="2024-04-11T00:00:00"/>
    <n v="4"/>
    <x v="3"/>
    <x v="4"/>
    <s v="ROG Zephyrus"/>
    <n v="4"/>
    <n v="98522"/>
    <n v="394088"/>
    <n v="197046"/>
    <s v="Bob"/>
    <s v="Corporate"/>
  </r>
  <r>
    <s v="INV0041"/>
    <d v="2024-04-12T00:00:00"/>
    <n v="4"/>
    <x v="3"/>
    <x v="3"/>
    <s v="Inspiron 15"/>
    <n v="4"/>
    <n v="47154"/>
    <n v="188616"/>
    <n v="94310"/>
    <s v="David"/>
    <s v="Corporate"/>
  </r>
  <r>
    <s v="INV0042"/>
    <d v="2024-04-13T00:00:00"/>
    <n v="4"/>
    <x v="4"/>
    <x v="1"/>
    <s v="ThinkPad X1"/>
    <n v="4"/>
    <n v="43104"/>
    <n v="172416"/>
    <n v="86210"/>
    <s v="Bob"/>
    <s v="Corporate"/>
  </r>
  <r>
    <s v="INV0043"/>
    <d v="2024-04-14T00:00:00"/>
    <n v="4"/>
    <x v="3"/>
    <x v="3"/>
    <s v="Inspiron 15"/>
    <n v="1"/>
    <n v="62018"/>
    <n v="62018"/>
    <n v="31009.5"/>
    <s v="Bob"/>
    <s v="Corporate"/>
  </r>
  <r>
    <s v="INV0044"/>
    <d v="2024-04-15T00:00:00"/>
    <n v="4"/>
    <x v="4"/>
    <x v="4"/>
    <s v="ZenBook"/>
    <n v="3"/>
    <n v="99329"/>
    <n v="297987"/>
    <n v="148995"/>
    <s v="Charlie"/>
    <s v="Retail"/>
  </r>
  <r>
    <s v="INV0045"/>
    <d v="2024-04-16T00:00:00"/>
    <n v="4"/>
    <x v="0"/>
    <x v="3"/>
    <s v="Inspiron 15"/>
    <n v="1"/>
    <n v="44029"/>
    <n v="44029"/>
    <n v="22015"/>
    <s v="Charlie"/>
    <s v="Corporate"/>
  </r>
  <r>
    <s v="INV0046"/>
    <d v="2024-04-17T00:00:00"/>
    <n v="4"/>
    <x v="3"/>
    <x v="4"/>
    <s v="ROG Zephyrus"/>
    <n v="3"/>
    <n v="56685"/>
    <n v="170055"/>
    <n v="85029"/>
    <s v="Eva"/>
    <s v="Corporate"/>
  </r>
  <r>
    <s v="INV0047"/>
    <d v="2024-04-18T00:00:00"/>
    <n v="4"/>
    <x v="2"/>
    <x v="2"/>
    <s v="Pavilion"/>
    <n v="1"/>
    <n v="85518"/>
    <n v="85518"/>
    <n v="42759.5"/>
    <s v="Alice"/>
    <s v="Corporate"/>
  </r>
  <r>
    <s v="INV0048"/>
    <d v="2024-04-19T00:00:00"/>
    <n v="4"/>
    <x v="4"/>
    <x v="3"/>
    <s v="G15"/>
    <n v="3"/>
    <n v="51178"/>
    <n v="153534"/>
    <n v="76768.5"/>
    <s v="Frank"/>
    <s v="Corporate"/>
  </r>
  <r>
    <s v="INV0049"/>
    <d v="2024-04-20T00:00:00"/>
    <n v="4"/>
    <x v="0"/>
    <x v="4"/>
    <s v="ROG Zephyrus"/>
    <n v="1"/>
    <n v="39862"/>
    <n v="39862"/>
    <n v="19931.5"/>
    <s v="Eva"/>
    <s v="Retail"/>
  </r>
  <r>
    <s v="INV0050"/>
    <d v="2024-04-21T00:00:00"/>
    <n v="4"/>
    <x v="0"/>
    <x v="2"/>
    <s v="Spectre"/>
    <n v="5"/>
    <n v="49410"/>
    <n v="247050"/>
    <n v="123527.5"/>
    <s v="Alice"/>
    <s v="Corporate"/>
  </r>
  <r>
    <s v="INV0051"/>
    <d v="2024-04-22T00:00:00"/>
    <n v="4"/>
    <x v="0"/>
    <x v="2"/>
    <s v="Pavilion"/>
    <n v="3"/>
    <n v="57535"/>
    <n v="172605"/>
    <n v="86304"/>
    <s v="Frank"/>
    <s v="Retail"/>
  </r>
  <r>
    <s v="INV0052"/>
    <d v="2024-04-23T00:00:00"/>
    <n v="4"/>
    <x v="0"/>
    <x v="2"/>
    <s v="Spectre"/>
    <n v="4"/>
    <n v="50257"/>
    <n v="201028"/>
    <n v="100516"/>
    <s v="Bob"/>
    <s v="Corporate"/>
  </r>
  <r>
    <s v="INV0053"/>
    <d v="2024-04-24T00:00:00"/>
    <n v="4"/>
    <x v="0"/>
    <x v="1"/>
    <s v="ThinkPad X1"/>
    <n v="3"/>
    <n v="83964"/>
    <n v="251892"/>
    <n v="125947.5"/>
    <s v="Charlie"/>
    <s v="Retail"/>
  </r>
  <r>
    <s v="INV0054"/>
    <d v="2024-04-25T00:00:00"/>
    <n v="4"/>
    <x v="0"/>
    <x v="0"/>
    <s v="Aspire 5"/>
    <n v="4"/>
    <n v="35075"/>
    <n v="140300"/>
    <n v="70152"/>
    <s v="Bob"/>
    <s v="Corporate"/>
  </r>
  <r>
    <s v="INV0055"/>
    <d v="2024-04-26T00:00:00"/>
    <n v="4"/>
    <x v="0"/>
    <x v="2"/>
    <s v="Envy"/>
    <n v="2"/>
    <n v="59219"/>
    <n v="118438"/>
    <n v="59220"/>
    <s v="David"/>
    <s v="Corporate"/>
  </r>
  <r>
    <s v="INV0056"/>
    <d v="2024-04-27T00:00:00"/>
    <n v="4"/>
    <x v="4"/>
    <x v="2"/>
    <s v="Pavilion"/>
    <n v="3"/>
    <n v="76025"/>
    <n v="228075"/>
    <n v="114039"/>
    <s v="David"/>
    <s v="Corporate"/>
  </r>
  <r>
    <s v="INV0057"/>
    <d v="2024-04-28T00:00:00"/>
    <n v="4"/>
    <x v="3"/>
    <x v="1"/>
    <s v="ThinkPad X1"/>
    <n v="3"/>
    <n v="53405"/>
    <n v="160215"/>
    <n v="80109"/>
    <s v="Alice"/>
    <s v="Retail"/>
  </r>
  <r>
    <s v="INV0058"/>
    <d v="2024-04-29T00:00:00"/>
    <n v="4"/>
    <x v="4"/>
    <x v="4"/>
    <s v="VivoBook"/>
    <n v="3"/>
    <n v="71114"/>
    <n v="213342"/>
    <n v="106672.5"/>
    <s v="Eva"/>
    <s v="Retail"/>
  </r>
  <r>
    <s v="INV0059"/>
    <d v="2024-04-30T00:00:00"/>
    <n v="4"/>
    <x v="1"/>
    <x v="5"/>
    <s v="iPad Mini"/>
    <n v="2"/>
    <n v="63386"/>
    <n v="126772"/>
    <n v="63387"/>
    <s v="Alice"/>
    <s v="Retail"/>
  </r>
  <r>
    <s v="INV0060"/>
    <d v="2024-05-01T00:00:00"/>
    <n v="5"/>
    <x v="3"/>
    <x v="2"/>
    <s v="Envy"/>
    <n v="1"/>
    <n v="73279"/>
    <n v="73279"/>
    <n v="36640"/>
    <s v="Frank"/>
    <s v="Retail"/>
  </r>
  <r>
    <s v="INV0061"/>
    <d v="2024-05-02T00:00:00"/>
    <n v="5"/>
    <x v="1"/>
    <x v="0"/>
    <s v="Nitro 5"/>
    <n v="5"/>
    <n v="70538"/>
    <n v="352690"/>
    <n v="176347.5"/>
    <s v="Charlie"/>
    <s v="Corporate"/>
  </r>
  <r>
    <s v="INV0062"/>
    <d v="2024-05-03T00:00:00"/>
    <n v="5"/>
    <x v="1"/>
    <x v="0"/>
    <s v="Nitro 5"/>
    <n v="5"/>
    <n v="46683"/>
    <n v="233415"/>
    <n v="116710"/>
    <s v="Frank"/>
    <s v="Corporate"/>
  </r>
  <r>
    <s v="INV0063"/>
    <d v="2024-05-04T00:00:00"/>
    <n v="5"/>
    <x v="4"/>
    <x v="0"/>
    <s v="Swift 3"/>
    <n v="2"/>
    <n v="69446"/>
    <n v="138892"/>
    <n v="69447"/>
    <s v="Alice"/>
    <s v="Corporate"/>
  </r>
  <r>
    <s v="INV0064"/>
    <d v="2024-05-05T00:00:00"/>
    <n v="5"/>
    <x v="1"/>
    <x v="2"/>
    <s v="Pavilion"/>
    <n v="4"/>
    <n v="72237"/>
    <n v="288948"/>
    <n v="144476"/>
    <s v="David"/>
    <s v="Retail"/>
  </r>
  <r>
    <s v="INV0065"/>
    <d v="2024-05-06T00:00:00"/>
    <n v="5"/>
    <x v="4"/>
    <x v="4"/>
    <s v="VivoBook"/>
    <n v="2"/>
    <n v="41114"/>
    <n v="82228"/>
    <n v="41115"/>
    <s v="Frank"/>
    <s v="Corporate"/>
  </r>
  <r>
    <s v="INV0066"/>
    <d v="2024-05-07T00:00:00"/>
    <n v="5"/>
    <x v="0"/>
    <x v="1"/>
    <s v="ThinkPad X1"/>
    <n v="3"/>
    <n v="59444"/>
    <n v="178332"/>
    <n v="89167.5"/>
    <s v="Alice"/>
    <s v="Retail"/>
  </r>
  <r>
    <s v="INV0067"/>
    <d v="2024-05-08T00:00:00"/>
    <n v="5"/>
    <x v="1"/>
    <x v="3"/>
    <s v="Inspiron 15"/>
    <n v="5"/>
    <n v="39545"/>
    <n v="197725"/>
    <n v="98865"/>
    <s v="Frank"/>
    <s v="Retail"/>
  </r>
  <r>
    <s v="INV0068"/>
    <d v="2024-05-09T00:00:00"/>
    <n v="5"/>
    <x v="0"/>
    <x v="0"/>
    <s v="Swift 3"/>
    <n v="4"/>
    <n v="94799"/>
    <n v="379196"/>
    <n v="189600"/>
    <s v="Bob"/>
    <s v="Retail"/>
  </r>
  <r>
    <s v="INV0069"/>
    <d v="2024-05-10T00:00:00"/>
    <n v="5"/>
    <x v="4"/>
    <x v="1"/>
    <s v="IdeaPad 3"/>
    <n v="2"/>
    <n v="53053"/>
    <n v="106106"/>
    <n v="53054"/>
    <s v="David"/>
    <s v="Retail"/>
  </r>
  <r>
    <s v="INV0070"/>
    <d v="2024-05-11T00:00:00"/>
    <n v="5"/>
    <x v="1"/>
    <x v="4"/>
    <s v="ROG Zephyrus"/>
    <n v="1"/>
    <n v="89829"/>
    <n v="89829"/>
    <n v="44915"/>
    <s v="Frank"/>
    <s v="Corporate"/>
  </r>
  <r>
    <s v="INV0071"/>
    <d v="2024-05-12T00:00:00"/>
    <n v="5"/>
    <x v="1"/>
    <x v="5"/>
    <s v="iPad Mini"/>
    <n v="5"/>
    <n v="85933"/>
    <n v="429665"/>
    <n v="214835"/>
    <s v="Bob"/>
    <s v="Corporate"/>
  </r>
  <r>
    <s v="INV0072"/>
    <d v="2024-05-13T00:00:00"/>
    <n v="5"/>
    <x v="1"/>
    <x v="5"/>
    <s v="iPad Pro"/>
    <n v="2"/>
    <n v="66347"/>
    <n v="132694"/>
    <n v="66348"/>
    <s v="Frank"/>
    <s v="Retail"/>
  </r>
  <r>
    <s v="INV0073"/>
    <d v="2024-05-14T00:00:00"/>
    <n v="5"/>
    <x v="3"/>
    <x v="2"/>
    <s v="Envy"/>
    <n v="1"/>
    <n v="67450"/>
    <n v="67450"/>
    <n v="33725.5"/>
    <s v="Charlie"/>
    <s v="Corporate"/>
  </r>
  <r>
    <s v="INV0074"/>
    <d v="2024-05-15T00:00:00"/>
    <n v="5"/>
    <x v="1"/>
    <x v="4"/>
    <s v="ROG Zephyrus"/>
    <n v="2"/>
    <n v="49769"/>
    <n v="99538"/>
    <n v="49770"/>
    <s v="Frank"/>
    <s v="Retail"/>
  </r>
  <r>
    <s v="INV0075"/>
    <d v="2024-05-16T00:00:00"/>
    <n v="5"/>
    <x v="3"/>
    <x v="0"/>
    <s v="Aspire 5"/>
    <n v="1"/>
    <n v="84377"/>
    <n v="84377"/>
    <n v="42189"/>
    <s v="Eva"/>
    <s v="Corporate"/>
  </r>
  <r>
    <s v="INV0076"/>
    <d v="2024-05-17T00:00:00"/>
    <n v="5"/>
    <x v="4"/>
    <x v="5"/>
    <s v="iPad Air"/>
    <n v="2"/>
    <n v="85069"/>
    <n v="170138"/>
    <n v="85070"/>
    <s v="Frank"/>
    <s v="Retail"/>
  </r>
  <r>
    <s v="INV0077"/>
    <d v="2024-05-18T00:00:00"/>
    <n v="5"/>
    <x v="3"/>
    <x v="4"/>
    <s v="VivoBook"/>
    <n v="4"/>
    <n v="30772"/>
    <n v="123088"/>
    <n v="61546"/>
    <s v="David"/>
    <s v="Corporate"/>
  </r>
  <r>
    <s v="INV0078"/>
    <d v="2024-05-19T00:00:00"/>
    <n v="5"/>
    <x v="0"/>
    <x v="4"/>
    <s v="ZenBook"/>
    <n v="5"/>
    <n v="58906"/>
    <n v="294530"/>
    <n v="147267.5"/>
    <s v="Charlie"/>
    <s v="Corporate"/>
  </r>
  <r>
    <s v="INV0079"/>
    <d v="2024-05-20T00:00:00"/>
    <n v="5"/>
    <x v="1"/>
    <x v="5"/>
    <s v="iPad Air"/>
    <n v="4"/>
    <n v="74057"/>
    <n v="296228"/>
    <n v="148116"/>
    <s v="Frank"/>
    <s v="Retail"/>
  </r>
  <r>
    <s v="INV0080"/>
    <d v="2024-05-21T00:00:00"/>
    <n v="5"/>
    <x v="4"/>
    <x v="5"/>
    <s v="iPad Air"/>
    <n v="5"/>
    <n v="33534"/>
    <n v="167670"/>
    <n v="83837.5"/>
    <s v="Eva"/>
    <s v="Retail"/>
  </r>
  <r>
    <s v="INV0081"/>
    <d v="2024-05-22T00:00:00"/>
    <n v="5"/>
    <x v="0"/>
    <x v="1"/>
    <s v="Legion 5"/>
    <n v="4"/>
    <n v="47786"/>
    <n v="191144"/>
    <n v="95574"/>
    <s v="Alice"/>
    <s v="Corporate"/>
  </r>
  <r>
    <s v="INV0082"/>
    <d v="2024-05-23T00:00:00"/>
    <n v="5"/>
    <x v="3"/>
    <x v="5"/>
    <s v="iPad Pro"/>
    <n v="2"/>
    <n v="89598"/>
    <n v="179196"/>
    <n v="89599"/>
    <s v="David"/>
    <s v="Corporate"/>
  </r>
  <r>
    <s v="INV0083"/>
    <d v="2024-05-24T00:00:00"/>
    <n v="5"/>
    <x v="4"/>
    <x v="5"/>
    <s v="iPad Pro"/>
    <n v="1"/>
    <n v="91644"/>
    <n v="91644"/>
    <n v="45822.5"/>
    <s v="Alice"/>
    <s v="Corporate"/>
  </r>
  <r>
    <s v="INV0084"/>
    <d v="2024-05-25T00:00:00"/>
    <n v="5"/>
    <x v="0"/>
    <x v="3"/>
    <s v="G15"/>
    <n v="1"/>
    <n v="35276"/>
    <n v="35276"/>
    <n v="17638.5"/>
    <s v="Bob"/>
    <s v="Retail"/>
  </r>
  <r>
    <s v="INV0085"/>
    <d v="2024-05-26T00:00:00"/>
    <n v="5"/>
    <x v="2"/>
    <x v="4"/>
    <s v="ROG Zephyrus"/>
    <n v="2"/>
    <n v="46544"/>
    <n v="93088"/>
    <n v="46545"/>
    <s v="Eva"/>
    <s v="Retail"/>
  </r>
  <r>
    <s v="INV0086"/>
    <d v="2024-05-27T00:00:00"/>
    <n v="5"/>
    <x v="4"/>
    <x v="5"/>
    <s v="iPad Mini"/>
    <n v="3"/>
    <n v="78351"/>
    <n v="235053"/>
    <n v="117528"/>
    <s v="Eva"/>
    <s v="Retail"/>
  </r>
  <r>
    <s v="INV0087"/>
    <d v="2024-05-28T00:00:00"/>
    <n v="5"/>
    <x v="4"/>
    <x v="3"/>
    <s v="Inspiron 15"/>
    <n v="1"/>
    <n v="33365"/>
    <n v="33365"/>
    <n v="16683"/>
    <s v="Frank"/>
    <s v="Corporate"/>
  </r>
  <r>
    <s v="INV0088"/>
    <d v="2024-05-29T00:00:00"/>
    <n v="5"/>
    <x v="0"/>
    <x v="5"/>
    <s v="iPad Mini"/>
    <n v="2"/>
    <n v="39961"/>
    <n v="79922"/>
    <n v="39962"/>
    <s v="Alice"/>
    <s v="Corporate"/>
  </r>
  <r>
    <s v="INV0089"/>
    <d v="2024-05-30T00:00:00"/>
    <n v="5"/>
    <x v="4"/>
    <x v="0"/>
    <s v="Swift 3"/>
    <n v="1"/>
    <n v="35383"/>
    <n v="35383"/>
    <n v="17692"/>
    <s v="David"/>
    <s v="Corporate"/>
  </r>
  <r>
    <s v="INV0090"/>
    <d v="2024-05-31T00:00:00"/>
    <n v="5"/>
    <x v="1"/>
    <x v="1"/>
    <s v="Legion 5"/>
    <n v="3"/>
    <n v="31658"/>
    <n v="94974"/>
    <n v="47488.5"/>
    <s v="Alice"/>
    <s v="Corporate"/>
  </r>
  <r>
    <s v="INV0091"/>
    <d v="2024-06-01T00:00:00"/>
    <n v="6"/>
    <x v="0"/>
    <x v="2"/>
    <s v="Spectre"/>
    <n v="4"/>
    <n v="50052"/>
    <n v="200208"/>
    <n v="100106"/>
    <s v="Frank"/>
    <s v="Corporate"/>
  </r>
  <r>
    <s v="INV0092"/>
    <d v="2024-06-02T00:00:00"/>
    <n v="6"/>
    <x v="4"/>
    <x v="4"/>
    <s v="ZenBook"/>
    <n v="4"/>
    <n v="90931"/>
    <n v="363724"/>
    <n v="181864"/>
    <s v="Charlie"/>
    <s v="Corporate"/>
  </r>
  <r>
    <s v="INV0093"/>
    <d v="2024-06-03T00:00:00"/>
    <n v="6"/>
    <x v="1"/>
    <x v="3"/>
    <s v="XPS 13"/>
    <n v="3"/>
    <n v="89087"/>
    <n v="267261"/>
    <n v="133632"/>
    <s v="Eva"/>
    <s v="Corporate"/>
  </r>
  <r>
    <s v="INV0094"/>
    <d v="2024-06-04T00:00:00"/>
    <n v="6"/>
    <x v="1"/>
    <x v="2"/>
    <s v="Pavilion"/>
    <n v="4"/>
    <n v="72600"/>
    <n v="290400"/>
    <n v="145202"/>
    <s v="Bob"/>
    <s v="Corporate"/>
  </r>
  <r>
    <s v="INV0095"/>
    <d v="2024-06-05T00:00:00"/>
    <n v="6"/>
    <x v="2"/>
    <x v="2"/>
    <s v="Envy"/>
    <n v="3"/>
    <n v="66211"/>
    <n v="198633"/>
    <n v="99318"/>
    <s v="Eva"/>
    <s v="Retail"/>
  </r>
  <r>
    <s v="INV0096"/>
    <d v="2024-06-06T00:00:00"/>
    <n v="6"/>
    <x v="0"/>
    <x v="1"/>
    <s v="ThinkPad X1"/>
    <n v="4"/>
    <n v="94038"/>
    <n v="376152"/>
    <n v="188078"/>
    <s v="Frank"/>
    <s v="Corporate"/>
  </r>
  <r>
    <s v="INV0097"/>
    <d v="2024-06-07T00:00:00"/>
    <n v="6"/>
    <x v="2"/>
    <x v="0"/>
    <s v="Swift 3"/>
    <n v="4"/>
    <n v="88743"/>
    <n v="354972"/>
    <n v="177488"/>
    <s v="Charlie"/>
    <s v="Retail"/>
  </r>
  <r>
    <s v="INV0098"/>
    <d v="2024-06-08T00:00:00"/>
    <n v="6"/>
    <x v="4"/>
    <x v="5"/>
    <s v="iPad Mini"/>
    <n v="2"/>
    <n v="70135"/>
    <n v="140270"/>
    <n v="70136"/>
    <s v="Charlie"/>
    <s v="Corporate"/>
  </r>
  <r>
    <s v="INV0099"/>
    <d v="2024-06-09T00:00:00"/>
    <n v="6"/>
    <x v="3"/>
    <x v="4"/>
    <s v="ZenBook"/>
    <n v="3"/>
    <n v="85771"/>
    <n v="257313"/>
    <n v="128658"/>
    <s v="Charlie"/>
    <s v="Corporate"/>
  </r>
  <r>
    <s v="INV0100"/>
    <d v="2024-06-10T00:00:00"/>
    <n v="6"/>
    <x v="0"/>
    <x v="2"/>
    <s v="Envy"/>
    <n v="3"/>
    <n v="60217"/>
    <n v="180651"/>
    <n v="90327"/>
    <s v="Charlie"/>
    <s v="Retail"/>
  </r>
  <r>
    <s v="INV0101"/>
    <d v="2024-06-11T00:00:00"/>
    <n v="6"/>
    <x v="1"/>
    <x v="0"/>
    <s v="Swift 3"/>
    <n v="2"/>
    <n v="55105"/>
    <n v="110210"/>
    <n v="55106"/>
    <s v="Charlie"/>
    <s v="Corporate"/>
  </r>
  <r>
    <s v="INV0102"/>
    <d v="2024-06-12T00:00:00"/>
    <n v="6"/>
    <x v="0"/>
    <x v="1"/>
    <s v="ThinkPad X1"/>
    <n v="3"/>
    <n v="59816"/>
    <n v="179448"/>
    <n v="89725.5"/>
    <s v="Charlie"/>
    <s v="Retail"/>
  </r>
  <r>
    <s v="INV0103"/>
    <d v="2024-06-13T00:00:00"/>
    <n v="6"/>
    <x v="2"/>
    <x v="0"/>
    <s v="Swift 3"/>
    <n v="2"/>
    <n v="65954"/>
    <n v="131908"/>
    <n v="65955"/>
    <s v="Eva"/>
    <s v="Corporate"/>
  </r>
  <r>
    <s v="INV0104"/>
    <d v="2024-06-14T00:00:00"/>
    <n v="6"/>
    <x v="4"/>
    <x v="0"/>
    <s v="Aspire 5"/>
    <n v="4"/>
    <n v="43446"/>
    <n v="173784"/>
    <n v="86894"/>
    <s v="Charlie"/>
    <s v="Corporate"/>
  </r>
  <r>
    <s v="INV0105"/>
    <d v="2024-06-15T00:00:00"/>
    <n v="6"/>
    <x v="3"/>
    <x v="5"/>
    <s v="iPad Pro"/>
    <n v="3"/>
    <n v="54164"/>
    <n v="162492"/>
    <n v="81247.5"/>
    <s v="David"/>
    <s v="Retail"/>
  </r>
  <r>
    <s v="INV0106"/>
    <d v="2024-06-16T00:00:00"/>
    <n v="6"/>
    <x v="2"/>
    <x v="1"/>
    <s v="IdeaPad 3"/>
    <n v="4"/>
    <n v="39710"/>
    <n v="158840"/>
    <n v="79422"/>
    <s v="Bob"/>
    <s v="Retail"/>
  </r>
  <r>
    <s v="INV0107"/>
    <d v="2024-06-17T00:00:00"/>
    <n v="6"/>
    <x v="4"/>
    <x v="4"/>
    <s v="VivoBook"/>
    <n v="1"/>
    <n v="62530"/>
    <n v="62530"/>
    <n v="31265.5"/>
    <s v="David"/>
    <s v="Retail"/>
  </r>
  <r>
    <s v="INV0108"/>
    <d v="2024-06-18T00:00:00"/>
    <n v="6"/>
    <x v="4"/>
    <x v="4"/>
    <s v="VivoBook"/>
    <n v="4"/>
    <n v="88028"/>
    <n v="352112"/>
    <n v="176058"/>
    <s v="David"/>
    <s v="Corporate"/>
  </r>
  <r>
    <s v="INV0109"/>
    <d v="2024-06-19T00:00:00"/>
    <n v="6"/>
    <x v="0"/>
    <x v="4"/>
    <s v="ZenBook"/>
    <n v="1"/>
    <n v="43006"/>
    <n v="43006"/>
    <n v="21503.5"/>
    <s v="Charlie"/>
    <s v="Retail"/>
  </r>
  <r>
    <s v="INV0110"/>
    <d v="2024-06-20T00:00:00"/>
    <n v="6"/>
    <x v="2"/>
    <x v="3"/>
    <s v="XPS 13"/>
    <n v="2"/>
    <n v="39838"/>
    <n v="79676"/>
    <n v="39839"/>
    <s v="David"/>
    <s v="Corporate"/>
  </r>
  <r>
    <s v="INV0111"/>
    <d v="2024-06-21T00:00:00"/>
    <n v="6"/>
    <x v="0"/>
    <x v="0"/>
    <s v="Swift 3"/>
    <n v="4"/>
    <n v="68175"/>
    <n v="272700"/>
    <n v="136352"/>
    <s v="Charlie"/>
    <s v="Corporate"/>
  </r>
  <r>
    <s v="INV0112"/>
    <d v="2024-06-22T00:00:00"/>
    <n v="6"/>
    <x v="4"/>
    <x v="0"/>
    <s v="Nitro 5"/>
    <n v="1"/>
    <n v="60595"/>
    <n v="60595"/>
    <n v="30298"/>
    <s v="Frank"/>
    <s v="Retail"/>
  </r>
  <r>
    <s v="INV0113"/>
    <d v="2024-06-23T00:00:00"/>
    <n v="6"/>
    <x v="0"/>
    <x v="5"/>
    <s v="iPad Air"/>
    <n v="5"/>
    <n v="59466"/>
    <n v="297330"/>
    <n v="148667.5"/>
    <s v="Charlie"/>
    <s v="Retail"/>
  </r>
  <r>
    <s v="INV0114"/>
    <d v="2024-06-24T00:00:00"/>
    <n v="6"/>
    <x v="4"/>
    <x v="1"/>
    <s v="ThinkPad X1"/>
    <n v="2"/>
    <n v="70319"/>
    <n v="140638"/>
    <n v="70320"/>
    <s v="Charlie"/>
    <s v="Corporate"/>
  </r>
  <r>
    <s v="INV0115"/>
    <d v="2024-06-25T00:00:00"/>
    <n v="6"/>
    <x v="4"/>
    <x v="1"/>
    <s v="IdeaPad 3"/>
    <n v="3"/>
    <n v="82757"/>
    <n v="248271"/>
    <n v="124137"/>
    <s v="Eva"/>
    <s v="Corporate"/>
  </r>
  <r>
    <s v="INV0116"/>
    <d v="2024-06-26T00:00:00"/>
    <n v="6"/>
    <x v="3"/>
    <x v="5"/>
    <s v="iPad Air"/>
    <n v="5"/>
    <n v="35224"/>
    <n v="176120"/>
    <n v="88062.5"/>
    <s v="Eva"/>
    <s v="Corporate"/>
  </r>
  <r>
    <s v="INV0117"/>
    <d v="2024-06-27T00:00:00"/>
    <n v="6"/>
    <x v="3"/>
    <x v="1"/>
    <s v="ThinkPad X1"/>
    <n v="2"/>
    <n v="32719"/>
    <n v="65438"/>
    <n v="32720"/>
    <s v="Eva"/>
    <s v="Retail"/>
  </r>
  <r>
    <s v="INV0118"/>
    <d v="2024-06-28T00:00:00"/>
    <n v="6"/>
    <x v="0"/>
    <x v="3"/>
    <s v="Inspiron 15"/>
    <n v="5"/>
    <n v="87963"/>
    <n v="439815"/>
    <n v="219910"/>
    <s v="Eva"/>
    <s v="Corporate"/>
  </r>
  <r>
    <s v="INV0119"/>
    <d v="2024-06-29T00:00:00"/>
    <n v="6"/>
    <x v="1"/>
    <x v="0"/>
    <s v="Nitro 5"/>
    <n v="1"/>
    <n v="91605"/>
    <n v="91605"/>
    <n v="45803"/>
    <s v="Charlie"/>
    <s v="Corporate"/>
  </r>
  <r>
    <s v="INV0120"/>
    <d v="2024-06-30T00:00:00"/>
    <n v="6"/>
    <x v="1"/>
    <x v="0"/>
    <s v="Aspire 5"/>
    <n v="2"/>
    <n v="73228"/>
    <n v="146456"/>
    <n v="73229"/>
    <s v="Charlie"/>
    <s v="Corporate"/>
  </r>
  <r>
    <s v="INV0121"/>
    <d v="2024-07-01T00:00:00"/>
    <n v="7"/>
    <x v="3"/>
    <x v="4"/>
    <s v="ROG Zephyrus"/>
    <n v="4"/>
    <n v="41542"/>
    <n v="166168"/>
    <n v="83086"/>
    <s v="Charlie"/>
    <s v="Retail"/>
  </r>
  <r>
    <s v="INV0122"/>
    <d v="2024-07-02T00:00:00"/>
    <n v="7"/>
    <x v="2"/>
    <x v="5"/>
    <s v="iPad Mini"/>
    <n v="1"/>
    <n v="90552"/>
    <n v="90552"/>
    <n v="45276.5"/>
    <s v="Bob"/>
    <s v="Corporate"/>
  </r>
  <r>
    <s v="INV0123"/>
    <d v="2024-07-03T00:00:00"/>
    <n v="7"/>
    <x v="3"/>
    <x v="4"/>
    <s v="VivoBook"/>
    <n v="4"/>
    <n v="36764"/>
    <n v="147056"/>
    <n v="73530"/>
    <s v="Eva"/>
    <s v="Retail"/>
  </r>
  <r>
    <s v="INV0124"/>
    <d v="2024-07-04T00:00:00"/>
    <n v="7"/>
    <x v="4"/>
    <x v="2"/>
    <s v="Envy"/>
    <n v="4"/>
    <n v="45915"/>
    <n v="183660"/>
    <n v="91832"/>
    <s v="Bob"/>
    <s v="Retail"/>
  </r>
  <r>
    <s v="INV0125"/>
    <d v="2024-07-05T00:00:00"/>
    <n v="7"/>
    <x v="0"/>
    <x v="2"/>
    <s v="Spectre"/>
    <n v="1"/>
    <n v="83476"/>
    <n v="83476"/>
    <n v="41738.5"/>
    <s v="Alice"/>
    <s v="Corporate"/>
  </r>
  <r>
    <s v="INV0126"/>
    <d v="2024-07-06T00:00:00"/>
    <n v="7"/>
    <x v="4"/>
    <x v="1"/>
    <s v="Legion 5"/>
    <n v="2"/>
    <n v="95323"/>
    <n v="190646"/>
    <n v="95324"/>
    <s v="Frank"/>
    <s v="Corporate"/>
  </r>
  <r>
    <s v="INV0127"/>
    <d v="2024-07-07T00:00:00"/>
    <n v="7"/>
    <x v="4"/>
    <x v="5"/>
    <s v="iPad Pro"/>
    <n v="4"/>
    <n v="61946"/>
    <n v="247784"/>
    <n v="123894"/>
    <s v="Bob"/>
    <s v="Corporate"/>
  </r>
  <r>
    <s v="INV0128"/>
    <d v="2024-07-08T00:00:00"/>
    <n v="7"/>
    <x v="3"/>
    <x v="3"/>
    <s v="G15"/>
    <n v="5"/>
    <n v="47892"/>
    <n v="239460"/>
    <n v="119732.5"/>
    <s v="David"/>
    <s v="Corporate"/>
  </r>
  <r>
    <s v="INV0129"/>
    <d v="2024-07-09T00:00:00"/>
    <n v="7"/>
    <x v="4"/>
    <x v="4"/>
    <s v="VivoBook"/>
    <n v="1"/>
    <n v="67072"/>
    <n v="67072"/>
    <n v="33536.5"/>
    <s v="Eva"/>
    <s v="Corporate"/>
  </r>
  <r>
    <s v="INV0130"/>
    <d v="2024-07-10T00:00:00"/>
    <n v="7"/>
    <x v="3"/>
    <x v="3"/>
    <s v="Inspiron 15"/>
    <n v="5"/>
    <n v="93483"/>
    <n v="467415"/>
    <n v="233710"/>
    <s v="Eva"/>
    <s v="Corporate"/>
  </r>
  <r>
    <s v="INV0131"/>
    <d v="2024-07-11T00:00:00"/>
    <n v="7"/>
    <x v="1"/>
    <x v="5"/>
    <s v="iPad Pro"/>
    <n v="2"/>
    <n v="61300"/>
    <n v="122600"/>
    <n v="61301"/>
    <s v="Bob"/>
    <s v="Corporate"/>
  </r>
  <r>
    <s v="INV0132"/>
    <d v="2024-07-12T00:00:00"/>
    <n v="7"/>
    <x v="0"/>
    <x v="1"/>
    <s v="IdeaPad 3"/>
    <n v="4"/>
    <n v="79968"/>
    <n v="319872"/>
    <n v="159938"/>
    <s v="David"/>
    <s v="Retail"/>
  </r>
  <r>
    <s v="INV0133"/>
    <d v="2024-07-13T00:00:00"/>
    <n v="7"/>
    <x v="1"/>
    <x v="3"/>
    <s v="G15"/>
    <n v="5"/>
    <n v="73515"/>
    <n v="367575"/>
    <n v="183790"/>
    <s v="Alice"/>
    <s v="Corporate"/>
  </r>
  <r>
    <s v="INV0134"/>
    <d v="2024-07-14T00:00:00"/>
    <n v="7"/>
    <x v="0"/>
    <x v="1"/>
    <s v="Legion 5"/>
    <n v="2"/>
    <n v="83736"/>
    <n v="167472"/>
    <n v="83737"/>
    <s v="Alice"/>
    <s v="Corporate"/>
  </r>
  <r>
    <s v="INV0135"/>
    <d v="2024-07-15T00:00:00"/>
    <n v="7"/>
    <x v="2"/>
    <x v="2"/>
    <s v="Envy"/>
    <n v="5"/>
    <n v="82098"/>
    <n v="410490"/>
    <n v="205247.5"/>
    <s v="Charlie"/>
    <s v="Corporate"/>
  </r>
  <r>
    <s v="INV0136"/>
    <d v="2024-07-16T00:00:00"/>
    <n v="7"/>
    <x v="2"/>
    <x v="2"/>
    <s v="Spectre"/>
    <n v="4"/>
    <n v="34705"/>
    <n v="138820"/>
    <n v="69412"/>
    <s v="Bob"/>
    <s v="Corporate"/>
  </r>
  <r>
    <s v="INV0137"/>
    <d v="2024-07-17T00:00:00"/>
    <n v="7"/>
    <x v="2"/>
    <x v="3"/>
    <s v="G15"/>
    <n v="1"/>
    <n v="86881"/>
    <n v="86881"/>
    <n v="43441"/>
    <s v="David"/>
    <s v="Retail"/>
  </r>
  <r>
    <s v="INV0138"/>
    <d v="2024-07-18T00:00:00"/>
    <n v="7"/>
    <x v="2"/>
    <x v="0"/>
    <s v="Nitro 5"/>
    <n v="1"/>
    <n v="36028"/>
    <n v="36028"/>
    <n v="18014.5"/>
    <s v="Charlie"/>
    <s v="Corporate"/>
  </r>
  <r>
    <s v="INV0139"/>
    <d v="2024-07-19T00:00:00"/>
    <n v="7"/>
    <x v="1"/>
    <x v="2"/>
    <s v="Envy"/>
    <n v="2"/>
    <n v="62007"/>
    <n v="124014"/>
    <n v="62008"/>
    <s v="Eva"/>
    <s v="Retail"/>
  </r>
  <r>
    <s v="INV0140"/>
    <d v="2024-07-20T00:00:00"/>
    <n v="7"/>
    <x v="0"/>
    <x v="3"/>
    <s v="XPS 13"/>
    <n v="1"/>
    <n v="80140"/>
    <n v="80140"/>
    <n v="40070.5"/>
    <s v="David"/>
    <s v="Retail"/>
  </r>
  <r>
    <s v="INV0141"/>
    <d v="2024-07-21T00:00:00"/>
    <n v="7"/>
    <x v="2"/>
    <x v="3"/>
    <s v="Inspiron 15"/>
    <n v="3"/>
    <n v="90236"/>
    <n v="270708"/>
    <n v="135355.5"/>
    <s v="David"/>
    <s v="Corporate"/>
  </r>
  <r>
    <s v="INV0142"/>
    <d v="2024-07-22T00:00:00"/>
    <n v="7"/>
    <x v="3"/>
    <x v="0"/>
    <s v="Swift 3"/>
    <n v="2"/>
    <n v="39681"/>
    <n v="79362"/>
    <n v="39682"/>
    <s v="Eva"/>
    <s v="Corporate"/>
  </r>
  <r>
    <s v="INV0143"/>
    <d v="2024-07-23T00:00:00"/>
    <n v="7"/>
    <x v="0"/>
    <x v="0"/>
    <s v="Nitro 5"/>
    <n v="3"/>
    <n v="89878"/>
    <n v="269634"/>
    <n v="134818.5"/>
    <s v="David"/>
    <s v="Corporate"/>
  </r>
  <r>
    <s v="INV0144"/>
    <d v="2024-07-24T00:00:00"/>
    <n v="7"/>
    <x v="3"/>
    <x v="1"/>
    <s v="ThinkPad X1"/>
    <n v="4"/>
    <n v="77049"/>
    <n v="308196"/>
    <n v="154100"/>
    <s v="Frank"/>
    <s v="Corporate"/>
  </r>
  <r>
    <s v="INV0145"/>
    <d v="2024-07-25T00:00:00"/>
    <n v="7"/>
    <x v="4"/>
    <x v="1"/>
    <s v="Legion 5"/>
    <n v="4"/>
    <n v="65976"/>
    <n v="263904"/>
    <n v="131954"/>
    <s v="Frank"/>
    <s v="Retail"/>
  </r>
  <r>
    <s v="INV0146"/>
    <d v="2024-07-26T00:00:00"/>
    <n v="7"/>
    <x v="4"/>
    <x v="4"/>
    <s v="ZenBook"/>
    <n v="4"/>
    <n v="67512"/>
    <n v="270048"/>
    <n v="135026"/>
    <s v="Charlie"/>
    <s v="Retail"/>
  </r>
  <r>
    <s v="INV0147"/>
    <d v="2024-07-27T00:00:00"/>
    <n v="7"/>
    <x v="0"/>
    <x v="0"/>
    <s v="Aspire 5"/>
    <n v="5"/>
    <n v="62850"/>
    <n v="314250"/>
    <n v="157127.5"/>
    <s v="Frank"/>
    <s v="Retail"/>
  </r>
  <r>
    <s v="INV0148"/>
    <d v="2024-07-28T00:00:00"/>
    <n v="7"/>
    <x v="2"/>
    <x v="0"/>
    <s v="Swift 3"/>
    <n v="1"/>
    <n v="70492"/>
    <n v="70492"/>
    <n v="35246.5"/>
    <s v="Eva"/>
    <s v="Corporate"/>
  </r>
  <r>
    <s v="INV0149"/>
    <d v="2024-07-29T00:00:00"/>
    <n v="7"/>
    <x v="1"/>
    <x v="0"/>
    <s v="Aspire 5"/>
    <n v="1"/>
    <n v="68680"/>
    <n v="68680"/>
    <n v="34340.5"/>
    <s v="Bob"/>
    <s v="Retail"/>
  </r>
  <r>
    <s v="INV0150"/>
    <d v="2024-07-30T00:00:00"/>
    <n v="7"/>
    <x v="3"/>
    <x v="3"/>
    <s v="G15"/>
    <n v="3"/>
    <n v="99579"/>
    <n v="298737"/>
    <n v="149370"/>
    <s v="Bob"/>
    <s v="Corporate"/>
  </r>
  <r>
    <s v="INV0151"/>
    <d v="2024-07-31T00:00:00"/>
    <n v="7"/>
    <x v="2"/>
    <x v="5"/>
    <s v="iPad Pro"/>
    <n v="3"/>
    <n v="45095"/>
    <n v="135285"/>
    <n v="67644"/>
    <s v="Bob"/>
    <s v="Retail"/>
  </r>
  <r>
    <s v="INV0152"/>
    <d v="2024-08-01T00:00:00"/>
    <n v="8"/>
    <x v="1"/>
    <x v="0"/>
    <s v="Swift 3"/>
    <n v="4"/>
    <n v="77942"/>
    <n v="311768"/>
    <n v="155886"/>
    <s v="Alice"/>
    <s v="Corporate"/>
  </r>
  <r>
    <s v="INV0153"/>
    <d v="2024-08-02T00:00:00"/>
    <n v="8"/>
    <x v="3"/>
    <x v="4"/>
    <s v="ROG Zephyrus"/>
    <n v="4"/>
    <n v="78311"/>
    <n v="313244"/>
    <n v="156624"/>
    <s v="Eva"/>
    <s v="Corporate"/>
  </r>
  <r>
    <s v="INV0154"/>
    <d v="2024-08-03T00:00:00"/>
    <n v="8"/>
    <x v="2"/>
    <x v="0"/>
    <s v="Nitro 5"/>
    <n v="1"/>
    <n v="60647"/>
    <n v="60647"/>
    <n v="30324"/>
    <s v="Eva"/>
    <s v="Corporate"/>
  </r>
  <r>
    <s v="INV0155"/>
    <d v="2024-08-04T00:00:00"/>
    <n v="8"/>
    <x v="3"/>
    <x v="4"/>
    <s v="ROG Zephyrus"/>
    <n v="1"/>
    <n v="90852"/>
    <n v="90852"/>
    <n v="45426.5"/>
    <s v="Frank"/>
    <s v="Corporate"/>
  </r>
  <r>
    <s v="INV0156"/>
    <d v="2024-08-05T00:00:00"/>
    <n v="8"/>
    <x v="1"/>
    <x v="1"/>
    <s v="ThinkPad X1"/>
    <n v="1"/>
    <n v="34877"/>
    <n v="34877"/>
    <n v="17439"/>
    <s v="Alice"/>
    <s v="Retail"/>
  </r>
  <r>
    <s v="INV0157"/>
    <d v="2024-08-06T00:00:00"/>
    <n v="8"/>
    <x v="3"/>
    <x v="3"/>
    <s v="G15"/>
    <n v="2"/>
    <n v="80940"/>
    <n v="161880"/>
    <n v="80941"/>
    <s v="Frank"/>
    <s v="Corporate"/>
  </r>
  <r>
    <s v="INV0158"/>
    <d v="2024-08-07T00:00:00"/>
    <n v="8"/>
    <x v="2"/>
    <x v="4"/>
    <s v="ZenBook"/>
    <n v="2"/>
    <n v="84379"/>
    <n v="168758"/>
    <n v="84380"/>
    <s v="David"/>
    <s v="Corporate"/>
  </r>
  <r>
    <s v="INV0159"/>
    <d v="2024-08-08T00:00:00"/>
    <n v="8"/>
    <x v="1"/>
    <x v="2"/>
    <s v="Pavilion"/>
    <n v="3"/>
    <n v="58477"/>
    <n v="175431"/>
    <n v="87717"/>
    <s v="Bob"/>
    <s v="Corporate"/>
  </r>
  <r>
    <s v="INV0160"/>
    <d v="2024-08-09T00:00:00"/>
    <n v="8"/>
    <x v="1"/>
    <x v="1"/>
    <s v="Legion 5"/>
    <n v="3"/>
    <n v="77012"/>
    <n v="231036"/>
    <n v="115519.5"/>
    <s v="Charlie"/>
    <s v="Retail"/>
  </r>
  <r>
    <s v="INV0161"/>
    <d v="2024-08-10T00:00:00"/>
    <n v="8"/>
    <x v="4"/>
    <x v="1"/>
    <s v="IdeaPad 3"/>
    <n v="1"/>
    <n v="57801"/>
    <n v="57801"/>
    <n v="28901"/>
    <s v="Alice"/>
    <s v="Retail"/>
  </r>
  <r>
    <s v="INV0162"/>
    <d v="2024-08-11T00:00:00"/>
    <n v="8"/>
    <x v="4"/>
    <x v="2"/>
    <s v="Pavilion"/>
    <n v="2"/>
    <n v="56896"/>
    <n v="113792"/>
    <n v="56897"/>
    <s v="Bob"/>
    <s v="Retail"/>
  </r>
  <r>
    <s v="INV0163"/>
    <d v="2024-08-12T00:00:00"/>
    <n v="8"/>
    <x v="0"/>
    <x v="3"/>
    <s v="Inspiron 15"/>
    <n v="2"/>
    <n v="30371"/>
    <n v="60742"/>
    <n v="30372"/>
    <s v="Bob"/>
    <s v="Corporate"/>
  </r>
  <r>
    <s v="INV0164"/>
    <d v="2024-08-13T00:00:00"/>
    <n v="8"/>
    <x v="3"/>
    <x v="3"/>
    <s v="XPS 13"/>
    <n v="1"/>
    <n v="47275"/>
    <n v="47275"/>
    <n v="23638"/>
    <s v="Bob"/>
    <s v="Corporate"/>
  </r>
  <r>
    <s v="INV0165"/>
    <d v="2024-08-14T00:00:00"/>
    <n v="8"/>
    <x v="1"/>
    <x v="1"/>
    <s v="ThinkPad X1"/>
    <n v="3"/>
    <n v="36868"/>
    <n v="110604"/>
    <n v="55303.5"/>
    <s v="Eva"/>
    <s v="Retail"/>
  </r>
  <r>
    <s v="INV0166"/>
    <d v="2024-08-15T00:00:00"/>
    <n v="8"/>
    <x v="4"/>
    <x v="0"/>
    <s v="Aspire 5"/>
    <n v="4"/>
    <n v="88756"/>
    <n v="355024"/>
    <n v="177514"/>
    <s v="Eva"/>
    <s v="Retail"/>
  </r>
  <r>
    <s v="INV0167"/>
    <d v="2024-08-16T00:00:00"/>
    <n v="8"/>
    <x v="4"/>
    <x v="5"/>
    <s v="iPad Mini"/>
    <n v="2"/>
    <n v="35683"/>
    <n v="71366"/>
    <n v="35684"/>
    <s v="Charlie"/>
    <s v="Corporate"/>
  </r>
  <r>
    <s v="INV0168"/>
    <d v="2024-08-17T00:00:00"/>
    <n v="8"/>
    <x v="1"/>
    <x v="0"/>
    <s v="Aspire 5"/>
    <n v="1"/>
    <n v="92781"/>
    <n v="92781"/>
    <n v="46391"/>
    <s v="Frank"/>
    <s v="Retail"/>
  </r>
  <r>
    <s v="INV0169"/>
    <d v="2024-08-18T00:00:00"/>
    <n v="8"/>
    <x v="3"/>
    <x v="5"/>
    <s v="iPad Mini"/>
    <n v="4"/>
    <n v="39632"/>
    <n v="158528"/>
    <n v="79266"/>
    <s v="Eva"/>
    <s v="Retail"/>
  </r>
  <r>
    <s v="INV0170"/>
    <d v="2024-08-19T00:00:00"/>
    <n v="8"/>
    <x v="4"/>
    <x v="1"/>
    <s v="ThinkPad X1"/>
    <n v="3"/>
    <n v="72622"/>
    <n v="217866"/>
    <n v="108934.5"/>
    <s v="Eva"/>
    <s v="Corporate"/>
  </r>
  <r>
    <s v="INV0171"/>
    <d v="2024-08-20T00:00:00"/>
    <n v="8"/>
    <x v="2"/>
    <x v="5"/>
    <s v="iPad Mini"/>
    <n v="5"/>
    <n v="86387"/>
    <n v="431935"/>
    <n v="215970"/>
    <s v="Frank"/>
    <s v="Retail"/>
  </r>
  <r>
    <s v="INV0172"/>
    <d v="2024-08-21T00:00:00"/>
    <n v="8"/>
    <x v="1"/>
    <x v="5"/>
    <s v="iPad Pro"/>
    <n v="2"/>
    <n v="84239"/>
    <n v="168478"/>
    <n v="84240"/>
    <s v="David"/>
    <s v="Corporate"/>
  </r>
  <r>
    <s v="INV0173"/>
    <d v="2024-08-22T00:00:00"/>
    <n v="8"/>
    <x v="3"/>
    <x v="0"/>
    <s v="Aspire 5"/>
    <n v="3"/>
    <n v="85936"/>
    <n v="257808"/>
    <n v="128905.5"/>
    <s v="Charlie"/>
    <s v="Retail"/>
  </r>
  <r>
    <s v="INV0174"/>
    <d v="2024-08-23T00:00:00"/>
    <n v="8"/>
    <x v="2"/>
    <x v="0"/>
    <s v="Nitro 5"/>
    <n v="1"/>
    <n v="41957"/>
    <n v="41957"/>
    <n v="20979"/>
    <s v="David"/>
    <s v="Retail"/>
  </r>
  <r>
    <s v="INV0175"/>
    <d v="2024-08-24T00:00:00"/>
    <n v="8"/>
    <x v="2"/>
    <x v="0"/>
    <s v="Swift 3"/>
    <n v="3"/>
    <n v="47054"/>
    <n v="141162"/>
    <n v="70582.5"/>
    <s v="Eva"/>
    <s v="Corporate"/>
  </r>
  <r>
    <s v="INV0176"/>
    <d v="2024-08-25T00:00:00"/>
    <n v="8"/>
    <x v="1"/>
    <x v="0"/>
    <s v="Aspire 5"/>
    <n v="4"/>
    <n v="76346"/>
    <n v="305384"/>
    <n v="152694"/>
    <s v="Frank"/>
    <s v="Retail"/>
  </r>
  <r>
    <s v="INV0177"/>
    <d v="2024-08-26T00:00:00"/>
    <n v="8"/>
    <x v="4"/>
    <x v="2"/>
    <s v="Spectre"/>
    <n v="3"/>
    <n v="76090"/>
    <n v="228270"/>
    <n v="114136.5"/>
    <s v="Eva"/>
    <s v="Retail"/>
  </r>
  <r>
    <s v="INV0178"/>
    <d v="2024-08-27T00:00:00"/>
    <n v="8"/>
    <x v="3"/>
    <x v="3"/>
    <s v="G15"/>
    <n v="4"/>
    <n v="59392"/>
    <n v="237568"/>
    <n v="118786"/>
    <s v="Eva"/>
    <s v="Corporate"/>
  </r>
  <r>
    <s v="INV0179"/>
    <d v="2024-08-28T00:00:00"/>
    <n v="8"/>
    <x v="4"/>
    <x v="1"/>
    <s v="IdeaPad 3"/>
    <n v="5"/>
    <n v="59643"/>
    <n v="298215"/>
    <n v="149110"/>
    <s v="Eva"/>
    <s v="Retail"/>
  </r>
  <r>
    <s v="INV0180"/>
    <d v="2024-08-29T00:00:00"/>
    <n v="8"/>
    <x v="3"/>
    <x v="4"/>
    <s v="ZenBook"/>
    <n v="3"/>
    <n v="33794"/>
    <n v="101382"/>
    <n v="50692.5"/>
    <s v="Frank"/>
    <s v="Corporate"/>
  </r>
  <r>
    <s v="INV0181"/>
    <d v="2024-08-30T00:00:00"/>
    <n v="8"/>
    <x v="4"/>
    <x v="2"/>
    <s v="Envy"/>
    <n v="1"/>
    <n v="53777"/>
    <n v="53777"/>
    <n v="26889"/>
    <s v="Frank"/>
    <s v="Corporate"/>
  </r>
  <r>
    <s v="INV0182"/>
    <d v="2024-08-31T00:00:00"/>
    <n v="8"/>
    <x v="0"/>
    <x v="1"/>
    <s v="ThinkPad X1"/>
    <n v="1"/>
    <n v="42026"/>
    <n v="42026"/>
    <n v="21013.5"/>
    <s v="David"/>
    <s v="Corporate"/>
  </r>
  <r>
    <s v="INV0183"/>
    <d v="2024-09-01T00:00:00"/>
    <n v="9"/>
    <x v="3"/>
    <x v="5"/>
    <s v="iPad Pro"/>
    <n v="2"/>
    <n v="78503"/>
    <n v="157006"/>
    <n v="78504"/>
    <s v="Eva"/>
    <s v="Retail"/>
  </r>
  <r>
    <s v="INV0184"/>
    <d v="2024-09-02T00:00:00"/>
    <n v="9"/>
    <x v="2"/>
    <x v="1"/>
    <s v="ThinkPad X1"/>
    <n v="2"/>
    <n v="36522"/>
    <n v="73044"/>
    <n v="36523"/>
    <s v="Charlie"/>
    <s v="Corporate"/>
  </r>
  <r>
    <s v="INV0185"/>
    <d v="2024-09-03T00:00:00"/>
    <n v="9"/>
    <x v="3"/>
    <x v="0"/>
    <s v="Nitro 5"/>
    <n v="4"/>
    <n v="87939"/>
    <n v="351756"/>
    <n v="175880"/>
    <s v="Bob"/>
    <s v="Retail"/>
  </r>
  <r>
    <s v="INV0186"/>
    <d v="2024-09-04T00:00:00"/>
    <n v="9"/>
    <x v="4"/>
    <x v="2"/>
    <s v="Envy"/>
    <n v="1"/>
    <n v="67125"/>
    <n v="67125"/>
    <n v="33563"/>
    <s v="David"/>
    <s v="Corporate"/>
  </r>
  <r>
    <s v="INV0187"/>
    <d v="2024-09-05T00:00:00"/>
    <n v="9"/>
    <x v="0"/>
    <x v="1"/>
    <s v="ThinkPad X1"/>
    <n v="4"/>
    <n v="37180"/>
    <n v="148720"/>
    <n v="74362"/>
    <s v="Charlie"/>
    <s v="Retail"/>
  </r>
  <r>
    <s v="INV0188"/>
    <d v="2024-09-06T00:00:00"/>
    <n v="9"/>
    <x v="2"/>
    <x v="3"/>
    <s v="Inspiron 15"/>
    <n v="3"/>
    <n v="73007"/>
    <n v="219021"/>
    <n v="109512"/>
    <s v="David"/>
    <s v="Corporate"/>
  </r>
  <r>
    <s v="INV0189"/>
    <d v="2024-09-07T00:00:00"/>
    <n v="9"/>
    <x v="0"/>
    <x v="3"/>
    <s v="XPS 13"/>
    <n v="4"/>
    <n v="99806"/>
    <n v="399224"/>
    <n v="199614"/>
    <s v="Eva"/>
    <s v="Corporate"/>
  </r>
  <r>
    <s v="INV0190"/>
    <d v="2024-09-08T00:00:00"/>
    <n v="9"/>
    <x v="1"/>
    <x v="1"/>
    <s v="IdeaPad 3"/>
    <n v="1"/>
    <n v="87176"/>
    <n v="87176"/>
    <n v="43588.5"/>
    <s v="Alice"/>
    <s v="Corporate"/>
  </r>
  <r>
    <s v="INV0191"/>
    <d v="2024-09-09T00:00:00"/>
    <n v="9"/>
    <x v="1"/>
    <x v="4"/>
    <s v="VivoBook"/>
    <n v="5"/>
    <n v="83008"/>
    <n v="415040"/>
    <n v="207522.5"/>
    <s v="Charlie"/>
    <s v="Retail"/>
  </r>
  <r>
    <s v="INV0192"/>
    <d v="2024-09-10T00:00:00"/>
    <n v="9"/>
    <x v="1"/>
    <x v="5"/>
    <s v="iPad Air"/>
    <n v="3"/>
    <n v="52527"/>
    <n v="157581"/>
    <n v="78792"/>
    <s v="Frank"/>
    <s v="Corporate"/>
  </r>
  <r>
    <s v="INV0193"/>
    <d v="2024-09-11T00:00:00"/>
    <n v="9"/>
    <x v="4"/>
    <x v="1"/>
    <s v="IdeaPad 3"/>
    <n v="1"/>
    <n v="61891"/>
    <n v="61891"/>
    <n v="30946"/>
    <s v="David"/>
    <s v="Retail"/>
  </r>
  <r>
    <s v="INV0194"/>
    <d v="2024-09-12T00:00:00"/>
    <n v="9"/>
    <x v="0"/>
    <x v="5"/>
    <s v="iPad Pro"/>
    <n v="3"/>
    <n v="59041"/>
    <n v="177123"/>
    <n v="88563"/>
    <s v="Alice"/>
    <s v="Retail"/>
  </r>
  <r>
    <s v="INV0195"/>
    <d v="2024-09-13T00:00:00"/>
    <n v="9"/>
    <x v="0"/>
    <x v="4"/>
    <s v="ZenBook"/>
    <n v="2"/>
    <n v="75793"/>
    <n v="151586"/>
    <n v="75794"/>
    <s v="Bob"/>
    <s v="Retail"/>
  </r>
  <r>
    <s v="INV0196"/>
    <d v="2024-09-14T00:00:00"/>
    <n v="9"/>
    <x v="0"/>
    <x v="3"/>
    <s v="Inspiron 15"/>
    <n v="2"/>
    <n v="52740"/>
    <n v="105480"/>
    <n v="52741"/>
    <s v="Frank"/>
    <s v="Retail"/>
  </r>
  <r>
    <s v="INV0197"/>
    <d v="2024-09-15T00:00:00"/>
    <n v="9"/>
    <x v="4"/>
    <x v="3"/>
    <s v="G15"/>
    <n v="4"/>
    <n v="90811"/>
    <n v="363244"/>
    <n v="181624"/>
    <s v="David"/>
    <s v="Corporate"/>
  </r>
  <r>
    <s v="INV0198"/>
    <d v="2024-09-16T00:00:00"/>
    <n v="9"/>
    <x v="1"/>
    <x v="0"/>
    <s v="Nitro 5"/>
    <n v="2"/>
    <n v="87640"/>
    <n v="175280"/>
    <n v="87641"/>
    <s v="David"/>
    <s v="Corporate"/>
  </r>
  <r>
    <s v="INV0199"/>
    <d v="2024-09-17T00:00:00"/>
    <n v="9"/>
    <x v="2"/>
    <x v="2"/>
    <s v="Spectre"/>
    <n v="1"/>
    <n v="76129"/>
    <n v="76129"/>
    <n v="38065"/>
    <s v="Charlie"/>
    <s v="Corporate"/>
  </r>
  <r>
    <s v="INV0200"/>
    <d v="2024-09-18T00:00:00"/>
    <n v="9"/>
    <x v="2"/>
    <x v="5"/>
    <s v="iPad Air"/>
    <n v="1"/>
    <n v="78331"/>
    <n v="78331"/>
    <n v="39166"/>
    <s v="Frank"/>
    <s v="Retai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0D7D4F5-5905-4516-A867-143DC6B9F463}" name="PivotTable3" cacheId="4" applyNumberFormats="0" applyBorderFormats="0" applyFontFormats="0" applyPatternFormats="0" applyAlignmentFormats="0" applyWidthHeightFormats="1" dataCaption="Values" updatedVersion="7" minRefreshableVersion="3" preserveFormatting="0" itemPrintTitles="1" createdVersion="7" indent="0" outline="1" outlineData="1" multipleFieldFilters="0" chartFormat="5" rowHeaderCaption="Brands">
  <location ref="G3:H10" firstHeaderRow="1" firstDataRow="1" firstDataCol="1"/>
  <pivotFields count="12">
    <pivotField showAll="0"/>
    <pivotField showAll="0"/>
    <pivotField showAll="0"/>
    <pivotField showAll="0">
      <items count="6">
        <item x="4"/>
        <item x="3"/>
        <item x="2"/>
        <item x="0"/>
        <item x="1"/>
        <item t="default"/>
      </items>
    </pivotField>
    <pivotField axis="axisRow" showAll="0" sortType="descending">
      <items count="7">
        <item x="1"/>
        <item x="5"/>
        <item x="2"/>
        <item x="3"/>
        <item x="4"/>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sortType="ascending"/>
    <pivotField showAll="0"/>
  </pivotFields>
  <rowFields count="1">
    <field x="4"/>
  </rowFields>
  <rowItems count="7">
    <i>
      <x/>
    </i>
    <i>
      <x v="5"/>
    </i>
    <i>
      <x v="3"/>
    </i>
    <i>
      <x v="4"/>
    </i>
    <i>
      <x v="1"/>
    </i>
    <i>
      <x v="2"/>
    </i>
    <i t="grand">
      <x/>
    </i>
  </rowItems>
  <colItems count="1">
    <i/>
  </colItems>
  <dataFields count="1">
    <dataField name="Sum of Quantity Sold"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D0609C-51BC-4906-8E12-22046F5A41AD}" name="PivotTable2" cacheId="4" applyNumberFormats="0" applyBorderFormats="0" applyFontFormats="0" applyPatternFormats="0" applyAlignmentFormats="0" applyWidthHeightFormats="1" dataCaption="Values" showMissing="0" updatedVersion="7" minRefreshableVersion="3" preserveFormatting="0" rowGrandTotals="0" colGrandTotals="0" createdVersion="7" indent="0" outline="1" outlineData="1" multipleFieldFilters="0" rowHeaderCaption="Region">
  <location ref="K3:L8" firstHeaderRow="1" firstDataRow="1" firstDataCol="1"/>
  <pivotFields count="12">
    <pivotField showAll="0"/>
    <pivotField showAll="0"/>
    <pivotField showAll="0"/>
    <pivotField axis="axisRow"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3"/>
  </rowFields>
  <rowItems count="5">
    <i>
      <x v="4"/>
    </i>
    <i>
      <x v="3"/>
    </i>
    <i>
      <x v="1"/>
    </i>
    <i>
      <x/>
    </i>
    <i>
      <x v="2"/>
    </i>
  </rowItems>
  <colItems count="1">
    <i/>
  </colItems>
  <dataFields count="1">
    <dataField name="Sum of Revenue" fld="8" baseField="0" baseItem="0"/>
  </dataField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4ACBA8-B6CA-419F-8DF9-1C5D636F8299}" name="PivotTable12"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5" rowHeaderCaption="Brands">
  <location ref="D15:E21" firstHeaderRow="1" firstDataRow="1" firstDataCol="1"/>
  <pivotFields count="11">
    <pivotField showAll="0"/>
    <pivotField showAll="0"/>
    <pivotField dataField="1" showAll="0">
      <items count="7">
        <item x="5"/>
        <item x="3"/>
        <item x="0"/>
        <item x="4"/>
        <item x="1"/>
        <item x="2"/>
        <item t="default"/>
      </items>
    </pivotField>
    <pivotField showAll="0"/>
    <pivotField axis="axisRow" showAll="0" sortType="descending">
      <items count="7">
        <item x="0"/>
        <item x="4"/>
        <item x="3"/>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s>
  <rowFields count="1">
    <field x="4"/>
  </rowFields>
  <rowItems count="6">
    <i>
      <x v="5"/>
    </i>
    <i>
      <x/>
    </i>
    <i>
      <x v="2"/>
    </i>
    <i>
      <x v="1"/>
    </i>
    <i>
      <x v="4"/>
    </i>
    <i>
      <x v="3"/>
    </i>
  </rowItems>
  <colItems count="1">
    <i/>
  </colItems>
  <dataFields count="1">
    <dataField name="total Sales in each Month" fld="2" baseField="4" baseItem="5"/>
  </dataFields>
  <chartFormats count="8">
    <chartFormat chart="1"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4" count="1" selected="0">
            <x v="5"/>
          </reference>
        </references>
      </pivotArea>
    </chartFormat>
    <chartFormat chart="3" format="10">
      <pivotArea type="data" outline="0" fieldPosition="0">
        <references count="2">
          <reference field="4294967294" count="1" selected="0">
            <x v="0"/>
          </reference>
          <reference field="4" count="1" selected="0">
            <x v="0"/>
          </reference>
        </references>
      </pivotArea>
    </chartFormat>
    <chartFormat chart="3" format="11">
      <pivotArea type="data" outline="0" fieldPosition="0">
        <references count="2">
          <reference field="4294967294" count="1" selected="0">
            <x v="0"/>
          </reference>
          <reference field="4" count="1" selected="0">
            <x v="2"/>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4"/>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E6393F-D2C6-4F10-8FE7-2C45687D516C}" name="PivotTable17" cacheId="3"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rowHeaderCaption="Brands">
  <location ref="P15:Q22" firstHeaderRow="1" firstDataRow="1" firstDataCol="1"/>
  <pivotFields count="12">
    <pivotField showAll="0"/>
    <pivotField showAll="0"/>
    <pivotField showAll="0"/>
    <pivotField showAll="0"/>
    <pivotField axis="axisRow" showAll="0" sortType="descending">
      <items count="8">
        <item x="0"/>
        <item x="4"/>
        <item x="3"/>
        <item x="2"/>
        <item x="5"/>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s>
  <rowFields count="1">
    <field x="4"/>
  </rowFields>
  <rowItems count="7">
    <i>
      <x/>
    </i>
    <i>
      <x v="5"/>
    </i>
    <i>
      <x v="2"/>
    </i>
    <i>
      <x v="1"/>
    </i>
    <i>
      <x v="4"/>
    </i>
    <i>
      <x v="3"/>
    </i>
    <i>
      <x v="6"/>
    </i>
  </rowItems>
  <colItems count="1">
    <i/>
  </colItems>
  <dataFields count="1">
    <dataField name="Sum of avg"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696958-9A05-4171-AF01-B07CC21EFF24}" name="PivotTable13"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0" rowHeaderCaption="Region" colHeaderCaption="Revenue in Each Month">
  <location ref="G15:M21" firstHeaderRow="1" firstDataRow="2" firstDataCol="1"/>
  <pivotFields count="11">
    <pivotField showAll="0"/>
    <pivotField showAll="0"/>
    <pivotField axis="axisCol" showAll="0">
      <items count="7">
        <item x="5"/>
        <item x="3"/>
        <item x="0"/>
        <item x="4"/>
        <item x="1"/>
        <item x="2"/>
        <item t="default"/>
      </items>
    </pivotField>
    <pivotField axis="axisRow"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items count="7">
        <item x="0"/>
        <item x="4"/>
        <item x="3"/>
        <item x="2"/>
        <item x="5"/>
        <item x="1"/>
        <item t="default"/>
      </items>
    </pivotField>
    <pivotField showAll="0"/>
    <pivotField showAll="0"/>
    <pivotField showAll="0"/>
    <pivotField dataField="1" showAll="0">
      <items count="201">
        <item x="86"/>
        <item x="155"/>
        <item x="83"/>
        <item x="88"/>
        <item x="137"/>
        <item x="30"/>
        <item x="26"/>
        <item x="48"/>
        <item x="173"/>
        <item x="181"/>
        <item x="108"/>
        <item x="44"/>
        <item x="163"/>
        <item x="180"/>
        <item x="160"/>
        <item x="111"/>
        <item x="153"/>
        <item x="162"/>
        <item x="192"/>
        <item x="42"/>
        <item x="106"/>
        <item x="116"/>
        <item x="0"/>
        <item x="128"/>
        <item x="185"/>
        <item x="72"/>
        <item x="148"/>
        <item x="147"/>
        <item x="166"/>
        <item x="183"/>
        <item x="59"/>
        <item x="37"/>
        <item x="198"/>
        <item x="25"/>
        <item x="199"/>
        <item x="141"/>
        <item x="109"/>
        <item x="87"/>
        <item x="139"/>
        <item x="64"/>
        <item x="124"/>
        <item x="74"/>
        <item x="46"/>
        <item x="8"/>
        <item x="136"/>
        <item x="189"/>
        <item x="32"/>
        <item x="69"/>
        <item x="121"/>
        <item x="154"/>
        <item x="118"/>
        <item x="82"/>
        <item x="167"/>
        <item x="84"/>
        <item x="89"/>
        <item x="27"/>
        <item x="73"/>
        <item x="179"/>
        <item x="195"/>
        <item x="68"/>
        <item x="100"/>
        <item x="164"/>
        <item x="161"/>
        <item x="54"/>
        <item x="34"/>
        <item x="130"/>
        <item x="76"/>
        <item x="138"/>
        <item x="10"/>
        <item x="58"/>
        <item x="21"/>
        <item x="102"/>
        <item x="71"/>
        <item x="150"/>
        <item x="135"/>
        <item x="62"/>
        <item x="97"/>
        <item x="53"/>
        <item x="113"/>
        <item x="174"/>
        <item x="24"/>
        <item x="119"/>
        <item x="122"/>
        <item x="186"/>
        <item x="194"/>
        <item x="47"/>
        <item x="182"/>
        <item x="191"/>
        <item x="168"/>
        <item x="105"/>
        <item x="56"/>
        <item x="156"/>
        <item x="104"/>
        <item x="7"/>
        <item x="38"/>
        <item x="120"/>
        <item x="33"/>
        <item x="133"/>
        <item x="79"/>
        <item x="171"/>
        <item x="157"/>
        <item x="45"/>
        <item x="75"/>
        <item x="16"/>
        <item x="5"/>
        <item x="9"/>
        <item x="41"/>
        <item x="50"/>
        <item x="103"/>
        <item x="197"/>
        <item x="158"/>
        <item x="115"/>
        <item x="193"/>
        <item x="65"/>
        <item x="81"/>
        <item x="101"/>
        <item x="99"/>
        <item x="123"/>
        <item x="28"/>
        <item x="6"/>
        <item x="40"/>
        <item x="36"/>
        <item x="125"/>
        <item x="80"/>
        <item x="2"/>
        <item x="15"/>
        <item x="66"/>
        <item x="94"/>
        <item x="90"/>
        <item x="51"/>
        <item x="22"/>
        <item x="23"/>
        <item x="1"/>
        <item x="57"/>
        <item x="169"/>
        <item x="187"/>
        <item x="18"/>
        <item x="55"/>
        <item x="176"/>
        <item x="159"/>
        <item x="61"/>
        <item x="85"/>
        <item x="177"/>
        <item x="127"/>
        <item x="49"/>
        <item x="126"/>
        <item x="114"/>
        <item x="52"/>
        <item x="98"/>
        <item x="172"/>
        <item x="12"/>
        <item x="144"/>
        <item x="92"/>
        <item x="142"/>
        <item x="145"/>
        <item x="140"/>
        <item x="110"/>
        <item x="20"/>
        <item x="19"/>
        <item x="63"/>
        <item x="93"/>
        <item x="11"/>
        <item x="77"/>
        <item x="78"/>
        <item x="112"/>
        <item x="43"/>
        <item x="178"/>
        <item x="4"/>
        <item x="149"/>
        <item x="175"/>
        <item x="29"/>
        <item x="143"/>
        <item x="151"/>
        <item x="152"/>
        <item x="146"/>
        <item x="17"/>
        <item x="131"/>
        <item x="14"/>
        <item x="13"/>
        <item x="184"/>
        <item x="107"/>
        <item x="60"/>
        <item x="96"/>
        <item x="165"/>
        <item x="196"/>
        <item x="91"/>
        <item x="132"/>
        <item x="95"/>
        <item x="67"/>
        <item x="39"/>
        <item x="188"/>
        <item x="134"/>
        <item x="190"/>
        <item x="3"/>
        <item x="70"/>
        <item x="170"/>
        <item x="117"/>
        <item x="31"/>
        <item x="129"/>
        <item x="35"/>
        <item t="default"/>
      </items>
    </pivotField>
    <pivotField showAll="0"/>
    <pivotField showAll="0"/>
  </pivotFields>
  <rowFields count="1">
    <field x="3"/>
  </rowFields>
  <rowItems count="5">
    <i>
      <x v="4"/>
    </i>
    <i>
      <x v="3"/>
    </i>
    <i>
      <x v="1"/>
    </i>
    <i>
      <x/>
    </i>
    <i>
      <x v="2"/>
    </i>
  </rowItems>
  <colFields count="1">
    <field x="2"/>
  </colFields>
  <colItems count="6">
    <i>
      <x/>
    </i>
    <i>
      <x v="1"/>
    </i>
    <i>
      <x v="2"/>
    </i>
    <i>
      <x v="3"/>
    </i>
    <i>
      <x v="4"/>
    </i>
    <i>
      <x v="5"/>
    </i>
  </colItems>
  <dataFields count="1">
    <dataField name="Sum of Revenue" fld="8" baseField="0" baseItem="0"/>
  </dataFields>
  <chartFormats count="19">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7" format="2" series="1">
      <pivotArea type="data" outline="0" fieldPosition="0">
        <references count="2">
          <reference field="4294967294" count="1" selected="0">
            <x v="0"/>
          </reference>
          <reference field="2" count="1" selected="0">
            <x v="2"/>
          </reference>
        </references>
      </pivotArea>
    </chartFormat>
    <chartFormat chart="7" format="3" series="1">
      <pivotArea type="data" outline="0" fieldPosition="0">
        <references count="2">
          <reference field="4294967294" count="1" selected="0">
            <x v="0"/>
          </reference>
          <reference field="2" count="1" selected="0">
            <x v="3"/>
          </reference>
        </references>
      </pivotArea>
    </chartFormat>
    <chartFormat chart="7" format="4" series="1">
      <pivotArea type="data" outline="0" fieldPosition="0">
        <references count="2">
          <reference field="4294967294" count="1" selected="0">
            <x v="0"/>
          </reference>
          <reference field="2" count="1" selected="0">
            <x v="4"/>
          </reference>
        </references>
      </pivotArea>
    </chartFormat>
    <chartFormat chart="7" format="5" series="1">
      <pivotArea type="data" outline="0" fieldPosition="0">
        <references count="2">
          <reference field="4294967294" count="1" selected="0">
            <x v="0"/>
          </reference>
          <reference field="2" count="1" selected="0">
            <x v="5"/>
          </reference>
        </references>
      </pivotArea>
    </chartFormat>
    <chartFormat chart="8" format="6" series="1">
      <pivotArea type="data" outline="0" fieldPosition="0">
        <references count="2">
          <reference field="4294967294" count="1" selected="0">
            <x v="0"/>
          </reference>
          <reference field="2" count="1" selected="0">
            <x v="0"/>
          </reference>
        </references>
      </pivotArea>
    </chartFormat>
    <chartFormat chart="8" format="7" series="1">
      <pivotArea type="data" outline="0" fieldPosition="0">
        <references count="2">
          <reference field="4294967294" count="1" selected="0">
            <x v="0"/>
          </reference>
          <reference field="2" count="1" selected="0">
            <x v="1"/>
          </reference>
        </references>
      </pivotArea>
    </chartFormat>
    <chartFormat chart="8" format="8" series="1">
      <pivotArea type="data" outline="0" fieldPosition="0">
        <references count="2">
          <reference field="4294967294" count="1" selected="0">
            <x v="0"/>
          </reference>
          <reference field="2" count="1" selected="0">
            <x v="2"/>
          </reference>
        </references>
      </pivotArea>
    </chartFormat>
    <chartFormat chart="8" format="9" series="1">
      <pivotArea type="data" outline="0" fieldPosition="0">
        <references count="2">
          <reference field="4294967294" count="1" selected="0">
            <x v="0"/>
          </reference>
          <reference field="2" count="1" selected="0">
            <x v="3"/>
          </reference>
        </references>
      </pivotArea>
    </chartFormat>
    <chartFormat chart="8" format="10" series="1">
      <pivotArea type="data" outline="0" fieldPosition="0">
        <references count="2">
          <reference field="4294967294" count="1" selected="0">
            <x v="0"/>
          </reference>
          <reference field="2" count="1" selected="0">
            <x v="4"/>
          </reference>
        </references>
      </pivotArea>
    </chartFormat>
    <chartFormat chart="8" format="11" series="1">
      <pivotArea type="data" outline="0" fieldPosition="0">
        <references count="2">
          <reference field="4294967294" count="1" selected="0">
            <x v="0"/>
          </reference>
          <reference field="2" count="1" selected="0">
            <x v="5"/>
          </reference>
        </references>
      </pivotArea>
    </chartFormat>
    <chartFormat chart="9" format="12" series="1">
      <pivotArea type="data" outline="0" fieldPosition="0">
        <references count="2">
          <reference field="4294967294" count="1" selected="0">
            <x v="0"/>
          </reference>
          <reference field="2" count="1" selected="0">
            <x v="0"/>
          </reference>
        </references>
      </pivotArea>
    </chartFormat>
    <chartFormat chart="9" format="13" series="1">
      <pivotArea type="data" outline="0" fieldPosition="0">
        <references count="2">
          <reference field="4294967294" count="1" selected="0">
            <x v="0"/>
          </reference>
          <reference field="2" count="1" selected="0">
            <x v="1"/>
          </reference>
        </references>
      </pivotArea>
    </chartFormat>
    <chartFormat chart="9" format="14" series="1">
      <pivotArea type="data" outline="0" fieldPosition="0">
        <references count="2">
          <reference field="4294967294" count="1" selected="0">
            <x v="0"/>
          </reference>
          <reference field="2" count="1" selected="0">
            <x v="2"/>
          </reference>
        </references>
      </pivotArea>
    </chartFormat>
    <chartFormat chart="9" format="15" series="1">
      <pivotArea type="data" outline="0" fieldPosition="0">
        <references count="2">
          <reference field="4294967294" count="1" selected="0">
            <x v="0"/>
          </reference>
          <reference field="2" count="1" selected="0">
            <x v="3"/>
          </reference>
        </references>
      </pivotArea>
    </chartFormat>
    <chartFormat chart="9" format="16" series="1">
      <pivotArea type="data" outline="0" fieldPosition="0">
        <references count="2">
          <reference field="4294967294" count="1" selected="0">
            <x v="0"/>
          </reference>
          <reference field="2" count="1" selected="0">
            <x v="4"/>
          </reference>
        </references>
      </pivotArea>
    </chartFormat>
    <chartFormat chart="9" format="17" series="1">
      <pivotArea type="data" outline="0" fieldPosition="0">
        <references count="2">
          <reference field="4294967294" count="1" selected="0">
            <x v="0"/>
          </reference>
          <reference field="2" count="1" selected="0">
            <x v="5"/>
          </reference>
        </references>
      </pivotArea>
    </chartFormat>
    <chartFormat chart="9"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7748AD-3F4A-40B1-A323-97F5F3EC8827}" name="PivotTable7" cacheId="4" applyNumberFormats="0" applyBorderFormats="0" applyFontFormats="0" applyPatternFormats="0" applyAlignmentFormats="0" applyWidthHeightFormats="1" dataCaption="Values" showMissing="0" updatedVersion="7" minRefreshableVersion="3" preserveFormatting="0" rowGrandTotals="0" colGrandTotals="0" createdVersion="7" indent="0" outline="1" outlineData="1" multipleFieldFilters="0" chartFormat="9" rowHeaderCaption="Brands" customListSort="0">
  <location ref="D3:E9" firstHeaderRow="1" firstDataRow="1" firstDataCol="1"/>
  <pivotFields count="12">
    <pivotField showAll="0"/>
    <pivotField showAll="0"/>
    <pivotField showAll="0"/>
    <pivotField showAll="0">
      <items count="6">
        <item x="4"/>
        <item x="3"/>
        <item x="2"/>
        <item x="0"/>
        <item x="1"/>
        <item t="default"/>
      </items>
    </pivotField>
    <pivotField axis="axisRow" showAll="0" sortType="descending">
      <items count="7">
        <item x="0"/>
        <item x="4"/>
        <item x="3"/>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4"/>
  </rowFields>
  <rowItems count="6">
    <i>
      <x/>
    </i>
    <i>
      <x v="5"/>
    </i>
    <i>
      <x v="2"/>
    </i>
    <i>
      <x v="1"/>
    </i>
    <i>
      <x v="4"/>
    </i>
    <i>
      <x v="3"/>
    </i>
  </rowItems>
  <colItems count="1">
    <i/>
  </colItems>
  <dataFields count="1">
    <dataField name="Sum of Revenue" fld="8" baseField="0" baseItem="0"/>
  </dataFields>
  <chartFormats count="2">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A3BD5B-7CC0-4B5F-964A-9C4951E1903D}" name="PivotTable1" cacheId="4" applyNumberFormats="0" applyBorderFormats="0" applyFontFormats="0" applyPatternFormats="0" applyAlignmentFormats="0" applyWidthHeightFormats="1" dataCaption="Values" updatedVersion="7" minRefreshableVersion="3" preserveFormatting="0" rowGrandTotals="0" colGrandTotals="0" itemPrintTitles="1" createdVersion="7" indent="0" outline="1" outlineData="1" multipleFieldFilters="0" chartFormat="5" rowHeaderCaption="Brands">
  <location ref="A3:B9" firstHeaderRow="1" firstDataRow="1" firstDataCol="1"/>
  <pivotFields count="12">
    <pivotField showAll="0"/>
    <pivotField showAll="0"/>
    <pivotField showAll="0"/>
    <pivotField showAll="0">
      <items count="6">
        <item x="4"/>
        <item x="3"/>
        <item x="2"/>
        <item x="0"/>
        <item x="1"/>
        <item t="default"/>
      </items>
    </pivotField>
    <pivotField axis="axisRow" showAll="0" sortType="descending">
      <items count="7">
        <item x="1"/>
        <item x="5"/>
        <item x="2"/>
        <item x="3"/>
        <item x="4"/>
        <item x="0"/>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sortType="ascending"/>
    <pivotField showAll="0"/>
  </pivotFields>
  <rowFields count="1">
    <field x="4"/>
  </rowFields>
  <rowItems count="6">
    <i>
      <x/>
    </i>
    <i>
      <x v="5"/>
    </i>
    <i>
      <x v="3"/>
    </i>
    <i>
      <x v="4"/>
    </i>
    <i>
      <x v="1"/>
    </i>
    <i>
      <x v="2"/>
    </i>
  </rowItems>
  <colItems count="1">
    <i/>
  </colItems>
  <dataFields count="1">
    <dataField name="Sum of Quantity Sold" fld="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162DD1A-F012-47B5-9A24-D422FD29D250}" name="PivotTable5"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13" rowHeaderCaption="Months">
  <location ref="A15:B21" firstHeaderRow="1" firstDataRow="1" firstDataCol="1"/>
  <pivotFields count="11">
    <pivotField showAll="0"/>
    <pivotField showAll="0"/>
    <pivotField axis="axisRow" showAll="0" sortType="ascending">
      <items count="7">
        <item x="5"/>
        <item x="3"/>
        <item x="0"/>
        <item x="4"/>
        <item x="1"/>
        <item x="2"/>
        <item t="default"/>
      </items>
    </pivotField>
    <pivotField showAll="0"/>
    <pivotField showAll="0"/>
    <pivotField showAll="0"/>
    <pivotField dataField="1" showAll="0"/>
    <pivotField showAll="0"/>
    <pivotField showAll="0"/>
    <pivotField showAll="0"/>
    <pivotField showAll="0"/>
  </pivotFields>
  <rowFields count="1">
    <field x="2"/>
  </rowFields>
  <rowItems count="6">
    <i>
      <x/>
    </i>
    <i>
      <x v="1"/>
    </i>
    <i>
      <x v="2"/>
    </i>
    <i>
      <x v="3"/>
    </i>
    <i>
      <x v="4"/>
    </i>
    <i>
      <x v="5"/>
    </i>
  </rowItems>
  <colItems count="1">
    <i/>
  </colItems>
  <dataFields count="1">
    <dataField name="Sum of Quantity Sold" fld="6"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7FCD618-C49C-4D91-8D4A-AB95E95769F6}" name="PivotTable6" cacheId="4" applyNumberFormats="0" applyBorderFormats="0" applyFontFormats="0" applyPatternFormats="0" applyAlignmentFormats="0" applyWidthHeightFormats="1" dataCaption="Values" showMissing="0" updatedVersion="7" minRefreshableVersion="3" preserveFormatting="0" rowGrandTotals="0" colGrandTotals="0" itemPrintTitles="1" createdVersion="7" indent="0" outline="1" outlineData="1" multipleFieldFilters="0" rowHeaderCaption="Region" colHeaderCaption="Brands">
  <location ref="O3:U9" firstHeaderRow="1" firstDataRow="2" firstDataCol="1"/>
  <pivotFields count="12">
    <pivotField showAll="0"/>
    <pivotField showAll="0"/>
    <pivotField showAll="0"/>
    <pivotField axis="axisRow" showAll="0" sortType="descending">
      <items count="6">
        <item x="1"/>
        <item x="0"/>
        <item x="2"/>
        <item x="3"/>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4"/>
        <item x="3"/>
        <item x="2"/>
        <item x="5"/>
        <item x="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s>
  <rowFields count="1">
    <field x="3"/>
  </rowFields>
  <rowItems count="5">
    <i>
      <x/>
    </i>
    <i>
      <x v="3"/>
    </i>
    <i>
      <x v="1"/>
    </i>
    <i>
      <x v="4"/>
    </i>
    <i>
      <x v="2"/>
    </i>
  </rowItems>
  <colFields count="1">
    <field x="4"/>
  </colFields>
  <colItems count="6">
    <i>
      <x v="5"/>
    </i>
    <i>
      <x/>
    </i>
    <i>
      <x v="2"/>
    </i>
    <i>
      <x v="1"/>
    </i>
    <i>
      <x v="4"/>
    </i>
    <i>
      <x v="3"/>
    </i>
  </colItems>
  <dataFields count="1">
    <dataField name="Sum of Quantity Sold" fld="6" baseField="0" baseItem="0"/>
  </dataField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77C1D0-E350-4A5B-83E7-8165FEBDFCCD}" name="PivotTable4" cacheId="4" applyNumberFormats="0" applyBorderFormats="0" applyFontFormats="0" applyPatternFormats="0" applyAlignmentFormats="0" applyWidthHeightFormats="1" dataCaption="Values" showMissing="0" updatedVersion="7" minRefreshableVersion="3" preserveFormatting="0" createdVersion="7" indent="0" outline="1" outlineData="1" multipleFieldFilters="0" chartFormat="9" rowHeaderCaption="Brands" customListSort="0">
  <location ref="E25:F32" firstHeaderRow="1" firstDataRow="1" firstDataCol="1"/>
  <pivotFields count="12">
    <pivotField showAll="0"/>
    <pivotField showAll="0"/>
    <pivotField showAll="0"/>
    <pivotField showAll="0">
      <items count="6">
        <item x="4"/>
        <item x="3"/>
        <item x="2"/>
        <item x="0"/>
        <item x="1"/>
        <item t="default"/>
      </items>
    </pivotField>
    <pivotField axis="axisRow" showAll="0" sortType="descending">
      <items count="7">
        <item x="0"/>
        <item x="4"/>
        <item x="3"/>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s>
  <rowFields count="1">
    <field x="4"/>
  </rowFields>
  <rowItems count="7">
    <i>
      <x/>
    </i>
    <i>
      <x v="5"/>
    </i>
    <i>
      <x v="2"/>
    </i>
    <i>
      <x v="1"/>
    </i>
    <i>
      <x v="4"/>
    </i>
    <i>
      <x v="3"/>
    </i>
    <i t="grand">
      <x/>
    </i>
  </rowItems>
  <colItems count="1">
    <i/>
  </colItems>
  <dataFields count="1">
    <dataField name="Sum of Revenue" fld="8" baseField="0" baseItem="0"/>
  </dataFields>
  <chartFormats count="2">
    <chartFormat chart="4"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Dark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247CAAD-F5A7-49D2-AAEF-28F812D0DC0D}" sourceName="Region">
  <pivotTables>
    <pivotTable tabId="2" name="PivotTable2"/>
    <pivotTable tabId="2" name="PivotTable1"/>
    <pivotTable tabId="2" name="PivotTable3"/>
    <pivotTable tabId="2" name="PivotTable4"/>
    <pivotTable tabId="2" name="PivotTable6"/>
    <pivotTable tabId="2" name="PivotTable7"/>
  </pivotTables>
  <data>
    <tabular pivotCacheId="1886761006">
      <items count="5">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3D1FEDC-C8DE-40A0-A301-AABE01391292}" sourceName="month">
  <pivotTables>
    <pivotTable tabId="2" name="PivotTable13"/>
    <pivotTable tabId="2" name="PivotTable12"/>
  </pivotTables>
  <data>
    <tabular pivotCacheId="1628065831">
      <items count="6">
        <i x="5" s="1"/>
        <i x="3" s="1"/>
        <i x="0"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5556D16-90BB-4CB2-8E7C-2A8AD48B00DA}" cache="Slicer_Region" caption="Region" rowHeight="234950"/>
  <slicer name="month" xr10:uid="{EA12FB2F-6B61-400E-85BE-460DB8107D37}" cache="Slicer_month" caption="month"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36BE32-C864-4D2C-9618-45A085F42658}" name="Table1" displayName="Table1" ref="A1:L201" totalsRowShown="0" headerRowDxfId="15" headerRowBorderDxfId="14" tableBorderDxfId="13" totalsRowBorderDxfId="12">
  <autoFilter ref="A1:L201" xr:uid="{2D36BE32-C864-4D2C-9618-45A085F42658}"/>
  <tableColumns count="12">
    <tableColumn id="1" xr3:uid="{3D29D1E6-82BD-4E65-9BD9-91C232F44B00}" name="Invoice No" dataDxfId="11"/>
    <tableColumn id="2" xr3:uid="{B90501E0-B1A2-4EA4-A06F-2B6FBC060D35}" name="Date" dataDxfId="10"/>
    <tableColumn id="3" xr3:uid="{AE02B078-54CF-431B-BF96-C3C4BECC52C8}" name="month" dataDxfId="9">
      <calculatedColumnFormula>MONTH(Table1[[#This Row],[Date]])</calculatedColumnFormula>
    </tableColumn>
    <tableColumn id="4" xr3:uid="{A136118D-0BC2-47BE-9DFB-5B88BF6AA34E}" name="Region" dataDxfId="8"/>
    <tableColumn id="5" xr3:uid="{2640BA99-9A42-4589-9B36-425D21FB6FB9}" name="Brand" dataDxfId="7"/>
    <tableColumn id="6" xr3:uid="{6F3DD4C4-75D4-47BD-8651-D83A81E5EBD8}" name="Model" dataDxfId="6"/>
    <tableColumn id="7" xr3:uid="{4E428E87-2C69-4310-AA86-3C85DE767D41}" name="Quantity Sold" dataDxfId="5"/>
    <tableColumn id="8" xr3:uid="{0E5ED85F-3D64-492D-B097-0E1176260D28}" name="Unit Price" dataDxfId="4"/>
    <tableColumn id="9" xr3:uid="{588160FA-1D3A-4F9E-8E0F-D73E720D4713}" name="Revenue" dataDxfId="3"/>
    <tableColumn id="12" xr3:uid="{3DAEF6EE-46D9-428D-974D-B9D9B25A68BD}" name="avg" dataDxfId="2">
      <calculatedColumnFormula>AVERAGE(Table1[[#This Row],[Revenue]],Table1[[#This Row],[Quantity Sold]])</calculatedColumnFormula>
    </tableColumn>
    <tableColumn id="10" xr3:uid="{8E0849DE-B324-49D4-90EA-BB37BF10A4A5}" name="Sales Rep" dataDxfId="1"/>
    <tableColumn id="11" xr3:uid="{A1E4B48D-0461-4125-8F77-D6EC045EAD9D}" name="Customer Type" dataDxfId="0"/>
  </tableColumns>
  <tableStyleInfo name="TableStyleMedium9"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CBD65-7F68-49CF-96A4-6FD9CA5FCF02}">
  <dimension ref="A1"/>
  <sheetViews>
    <sheetView showGridLines="0" showRowColHeaders="0" tabSelected="1" zoomScale="90" zoomScaleNormal="90" workbookViewId="0">
      <selection activeCell="V9" sqref="V9"/>
    </sheetView>
  </sheetViews>
  <sheetFormatPr defaultRowHeight="13.8" x14ac:dyDescent="0.25"/>
  <cols>
    <col min="1" max="1" width="11.796875" style="17" customWidth="1"/>
    <col min="2" max="6" width="8" style="17"/>
    <col min="7" max="7" width="12.8984375" style="17" customWidth="1"/>
    <col min="8" max="8" width="9.8984375" style="17" customWidth="1"/>
    <col min="9" max="9" width="9.19921875" style="17" customWidth="1"/>
    <col min="10" max="10" width="8" style="17"/>
    <col min="11" max="11" width="9.69921875" style="17" customWidth="1"/>
    <col min="12" max="12" width="14" style="17" customWidth="1"/>
    <col min="13" max="16384" width="8.796875" style="17"/>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F35F4-F300-4E01-A1AA-EFE766242FE2}">
  <dimension ref="A3:U32"/>
  <sheetViews>
    <sheetView zoomScale="90" zoomScaleNormal="90" workbookViewId="0">
      <selection activeCell="G8" sqref="G8:H8"/>
      <pivotSelection pane="bottomRight" showHeader="1" extendable="1" axis="axisRow" start="4" max="7" activeRow="7" activeCol="6" previousRow="7" previousCol="6" click="1" r:id="rId1">
        <pivotArea dataOnly="0" fieldPosition="0">
          <references count="1">
            <reference field="3" count="1">
              <x v="2"/>
            </reference>
          </references>
        </pivotArea>
      </pivotSelection>
    </sheetView>
  </sheetViews>
  <sheetFormatPr defaultRowHeight="13.8" x14ac:dyDescent="0.25"/>
  <cols>
    <col min="1" max="1" width="9.69921875" customWidth="1"/>
    <col min="2" max="3" width="19" customWidth="1"/>
    <col min="4" max="4" width="9.5" bestFit="1" customWidth="1"/>
    <col min="5" max="5" width="23.19921875" bestFit="1" customWidth="1"/>
    <col min="6" max="6" width="13.09765625" customWidth="1"/>
    <col min="7" max="7" width="15.59765625" bestFit="1" customWidth="1"/>
    <col min="8" max="8" width="24.09765625" bestFit="1" customWidth="1"/>
    <col min="9" max="13" width="8" bestFit="1" customWidth="1"/>
    <col min="14" max="14" width="7.8984375" customWidth="1"/>
    <col min="15" max="15" width="21.5" customWidth="1"/>
    <col min="16" max="16" width="12.5" customWidth="1"/>
    <col min="17" max="17" width="10.3984375" customWidth="1"/>
    <col min="18" max="18" width="9.296875" customWidth="1"/>
    <col min="19" max="19" width="8.59765625" customWidth="1"/>
    <col min="20" max="20" width="9.09765625" customWidth="1"/>
    <col min="21" max="21" width="10.69921875" customWidth="1"/>
    <col min="22" max="22" width="5.8984375" customWidth="1"/>
    <col min="23" max="210" width="5.3984375" bestFit="1" customWidth="1"/>
    <col min="211" max="211" width="9.69921875" bestFit="1" customWidth="1"/>
  </cols>
  <sheetData>
    <row r="3" spans="1:21" x14ac:dyDescent="0.25">
      <c r="A3" s="2" t="s">
        <v>253</v>
      </c>
      <c r="B3" t="s">
        <v>247</v>
      </c>
      <c r="D3" s="2" t="s">
        <v>253</v>
      </c>
      <c r="E3" t="s">
        <v>248</v>
      </c>
      <c r="G3" s="2" t="s">
        <v>253</v>
      </c>
      <c r="H3" t="s">
        <v>247</v>
      </c>
      <c r="K3" s="2" t="s">
        <v>2</v>
      </c>
      <c r="L3" t="s">
        <v>248</v>
      </c>
      <c r="O3" s="2" t="s">
        <v>247</v>
      </c>
      <c r="P3" s="2" t="s">
        <v>253</v>
      </c>
    </row>
    <row r="4" spans="1:21" x14ac:dyDescent="0.25">
      <c r="A4" s="3" t="s">
        <v>216</v>
      </c>
      <c r="B4" s="18">
        <v>122</v>
      </c>
      <c r="D4" s="3" t="s">
        <v>215</v>
      </c>
      <c r="E4" s="18">
        <v>7338048</v>
      </c>
      <c r="G4" s="3" t="s">
        <v>216</v>
      </c>
      <c r="H4" s="18">
        <v>122</v>
      </c>
      <c r="K4" s="3" t="s">
        <v>211</v>
      </c>
      <c r="L4" s="18">
        <v>8904219</v>
      </c>
      <c r="O4" s="2" t="s">
        <v>2</v>
      </c>
      <c r="P4" t="s">
        <v>216</v>
      </c>
      <c r="Q4" t="s">
        <v>215</v>
      </c>
      <c r="R4" t="s">
        <v>218</v>
      </c>
      <c r="S4" t="s">
        <v>219</v>
      </c>
      <c r="T4" t="s">
        <v>220</v>
      </c>
      <c r="U4" t="s">
        <v>217</v>
      </c>
    </row>
    <row r="5" spans="1:21" x14ac:dyDescent="0.25">
      <c r="A5" s="3" t="s">
        <v>215</v>
      </c>
      <c r="B5" s="18">
        <v>110</v>
      </c>
      <c r="D5" s="3" t="s">
        <v>216</v>
      </c>
      <c r="E5" s="18">
        <v>7203742</v>
      </c>
      <c r="G5" s="3" t="s">
        <v>215</v>
      </c>
      <c r="H5" s="18">
        <v>110</v>
      </c>
      <c r="K5" s="3" t="s">
        <v>210</v>
      </c>
      <c r="L5" s="18">
        <v>7776407</v>
      </c>
      <c r="O5" s="3" t="s">
        <v>211</v>
      </c>
      <c r="P5" s="18">
        <v>22</v>
      </c>
      <c r="Q5" s="18">
        <v>37</v>
      </c>
      <c r="R5" s="18">
        <v>29</v>
      </c>
      <c r="S5" s="18">
        <v>10</v>
      </c>
      <c r="T5" s="18">
        <v>20</v>
      </c>
      <c r="U5" s="18">
        <v>13</v>
      </c>
    </row>
    <row r="6" spans="1:21" x14ac:dyDescent="0.25">
      <c r="A6" s="3" t="s">
        <v>218</v>
      </c>
      <c r="B6" s="18">
        <v>98</v>
      </c>
      <c r="D6" s="3" t="s">
        <v>218</v>
      </c>
      <c r="E6" s="18">
        <v>6875517</v>
      </c>
      <c r="G6" s="3" t="s">
        <v>218</v>
      </c>
      <c r="H6" s="18">
        <v>98</v>
      </c>
      <c r="K6" s="3" t="s">
        <v>213</v>
      </c>
      <c r="L6" s="18">
        <v>7503424</v>
      </c>
      <c r="O6" s="3" t="s">
        <v>213</v>
      </c>
      <c r="P6" s="18">
        <v>18</v>
      </c>
      <c r="Q6" s="18">
        <v>24</v>
      </c>
      <c r="R6" s="18">
        <v>30</v>
      </c>
      <c r="S6" s="18">
        <v>34</v>
      </c>
      <c r="T6" s="18">
        <v>16</v>
      </c>
      <c r="U6" s="18">
        <v>4</v>
      </c>
    </row>
    <row r="7" spans="1:21" x14ac:dyDescent="0.25">
      <c r="A7" s="3" t="s">
        <v>219</v>
      </c>
      <c r="B7" s="18">
        <v>89</v>
      </c>
      <c r="D7" s="3" t="s">
        <v>219</v>
      </c>
      <c r="E7" s="18">
        <v>5716734</v>
      </c>
      <c r="G7" s="3" t="s">
        <v>219</v>
      </c>
      <c r="H7" s="18">
        <v>89</v>
      </c>
      <c r="K7" s="3" t="s">
        <v>214</v>
      </c>
      <c r="L7" s="18">
        <v>7438496</v>
      </c>
      <c r="O7" s="3" t="s">
        <v>210</v>
      </c>
      <c r="P7" s="18">
        <v>36</v>
      </c>
      <c r="Q7" s="18">
        <v>21</v>
      </c>
      <c r="R7" s="18">
        <v>16</v>
      </c>
      <c r="S7" s="18">
        <v>9</v>
      </c>
      <c r="T7" s="18">
        <v>15</v>
      </c>
      <c r="U7" s="18">
        <v>22</v>
      </c>
    </row>
    <row r="8" spans="1:21" x14ac:dyDescent="0.25">
      <c r="A8" s="3" t="s">
        <v>220</v>
      </c>
      <c r="B8" s="18">
        <v>84</v>
      </c>
      <c r="D8" s="3" t="s">
        <v>220</v>
      </c>
      <c r="E8" s="18">
        <v>5525621</v>
      </c>
      <c r="G8" s="3" t="s">
        <v>220</v>
      </c>
      <c r="H8" s="18">
        <v>84</v>
      </c>
      <c r="K8" s="3" t="s">
        <v>212</v>
      </c>
      <c r="L8" s="18">
        <v>5324427</v>
      </c>
      <c r="O8" s="3" t="s">
        <v>214</v>
      </c>
      <c r="P8" s="18">
        <v>27</v>
      </c>
      <c r="Q8" s="18">
        <v>12</v>
      </c>
      <c r="R8" s="18">
        <v>12</v>
      </c>
      <c r="S8" s="18">
        <v>24</v>
      </c>
      <c r="T8" s="18">
        <v>22</v>
      </c>
      <c r="U8" s="18">
        <v>14</v>
      </c>
    </row>
    <row r="9" spans="1:21" x14ac:dyDescent="0.25">
      <c r="A9" s="3" t="s">
        <v>217</v>
      </c>
      <c r="B9" s="18">
        <v>69</v>
      </c>
      <c r="D9" s="3" t="s">
        <v>217</v>
      </c>
      <c r="E9" s="18">
        <v>4287311</v>
      </c>
      <c r="G9" s="3" t="s">
        <v>217</v>
      </c>
      <c r="H9" s="18">
        <v>69</v>
      </c>
      <c r="O9" s="3" t="s">
        <v>212</v>
      </c>
      <c r="P9" s="18">
        <v>19</v>
      </c>
      <c r="Q9" s="18">
        <v>16</v>
      </c>
      <c r="R9" s="18">
        <v>11</v>
      </c>
      <c r="S9" s="18">
        <v>12</v>
      </c>
      <c r="T9" s="18">
        <v>11</v>
      </c>
      <c r="U9" s="18">
        <v>16</v>
      </c>
    </row>
    <row r="10" spans="1:21" x14ac:dyDescent="0.25">
      <c r="G10" s="3" t="s">
        <v>257</v>
      </c>
      <c r="H10" s="18">
        <v>572</v>
      </c>
    </row>
    <row r="15" spans="1:21" x14ac:dyDescent="0.25">
      <c r="A15" s="2" t="s">
        <v>256</v>
      </c>
      <c r="B15" t="s">
        <v>247</v>
      </c>
      <c r="D15" s="2" t="s">
        <v>253</v>
      </c>
      <c r="E15" t="s">
        <v>255</v>
      </c>
      <c r="G15" s="2" t="s">
        <v>248</v>
      </c>
      <c r="H15" s="2" t="s">
        <v>254</v>
      </c>
      <c r="P15" s="2" t="s">
        <v>253</v>
      </c>
      <c r="Q15" t="s">
        <v>251</v>
      </c>
    </row>
    <row r="16" spans="1:21" x14ac:dyDescent="0.25">
      <c r="A16" s="3">
        <v>1</v>
      </c>
      <c r="B16">
        <v>109</v>
      </c>
      <c r="D16" s="3" t="s">
        <v>216</v>
      </c>
      <c r="E16" s="18">
        <v>154</v>
      </c>
      <c r="G16" s="2" t="s">
        <v>2</v>
      </c>
      <c r="H16">
        <v>1</v>
      </c>
      <c r="I16">
        <v>2</v>
      </c>
      <c r="J16">
        <v>3</v>
      </c>
      <c r="K16">
        <v>4</v>
      </c>
      <c r="L16">
        <v>5</v>
      </c>
      <c r="M16">
        <v>6</v>
      </c>
      <c r="P16" s="3" t="s">
        <v>215</v>
      </c>
      <c r="Q16">
        <v>3669079</v>
      </c>
    </row>
    <row r="17" spans="1:17" x14ac:dyDescent="0.25">
      <c r="A17" s="3">
        <v>2</v>
      </c>
      <c r="B17">
        <v>63</v>
      </c>
      <c r="D17" s="3" t="s">
        <v>215</v>
      </c>
      <c r="E17" s="18">
        <v>128</v>
      </c>
      <c r="G17" s="3" t="s">
        <v>211</v>
      </c>
      <c r="H17" s="18">
        <v>1501217</v>
      </c>
      <c r="I17" s="18">
        <v>1927105</v>
      </c>
      <c r="J17" s="18">
        <v>814807</v>
      </c>
      <c r="K17" s="18">
        <v>1302067</v>
      </c>
      <c r="L17" s="18">
        <v>1504676</v>
      </c>
      <c r="M17" s="18">
        <v>1854347</v>
      </c>
      <c r="P17" s="3" t="s">
        <v>216</v>
      </c>
      <c r="Q17">
        <v>3601932</v>
      </c>
    </row>
    <row r="18" spans="1:17" x14ac:dyDescent="0.25">
      <c r="A18" s="3">
        <v>3</v>
      </c>
      <c r="B18">
        <v>92</v>
      </c>
      <c r="D18" s="3" t="s">
        <v>218</v>
      </c>
      <c r="E18" s="18">
        <v>117</v>
      </c>
      <c r="G18" s="3" t="s">
        <v>210</v>
      </c>
      <c r="H18" s="18">
        <v>1099633</v>
      </c>
      <c r="I18" s="18">
        <v>690278</v>
      </c>
      <c r="J18" s="18">
        <v>1664364</v>
      </c>
      <c r="K18" s="18">
        <v>1657218</v>
      </c>
      <c r="L18" s="18">
        <v>836659</v>
      </c>
      <c r="M18" s="18">
        <v>1828255</v>
      </c>
      <c r="P18" s="3" t="s">
        <v>218</v>
      </c>
      <c r="Q18">
        <v>3437807.5</v>
      </c>
    </row>
    <row r="19" spans="1:17" x14ac:dyDescent="0.25">
      <c r="A19" s="3">
        <v>4</v>
      </c>
      <c r="B19">
        <v>124</v>
      </c>
      <c r="D19" s="3" t="s">
        <v>219</v>
      </c>
      <c r="E19" s="18">
        <v>114</v>
      </c>
      <c r="G19" s="3" t="s">
        <v>213</v>
      </c>
      <c r="H19" s="18">
        <v>1199292</v>
      </c>
      <c r="I19" s="18">
        <v>528793</v>
      </c>
      <c r="J19" s="18">
        <v>1909610</v>
      </c>
      <c r="K19" s="18">
        <v>1473479</v>
      </c>
      <c r="L19" s="18">
        <v>1024461</v>
      </c>
      <c r="M19" s="18">
        <v>1367789</v>
      </c>
      <c r="P19" s="3" t="s">
        <v>219</v>
      </c>
      <c r="Q19">
        <v>2858411.5</v>
      </c>
    </row>
    <row r="20" spans="1:17" x14ac:dyDescent="0.25">
      <c r="A20" s="3">
        <v>5</v>
      </c>
      <c r="B20">
        <v>76</v>
      </c>
      <c r="D20" s="3" t="s">
        <v>220</v>
      </c>
      <c r="E20" s="18">
        <v>105</v>
      </c>
      <c r="G20" s="3" t="s">
        <v>214</v>
      </c>
      <c r="H20" s="18">
        <v>1753833</v>
      </c>
      <c r="I20" s="18">
        <v>845714</v>
      </c>
      <c r="J20" s="18">
        <v>1276244</v>
      </c>
      <c r="K20" s="18">
        <v>2388080</v>
      </c>
      <c r="L20" s="18">
        <v>363244</v>
      </c>
      <c r="M20" s="18">
        <v>811381</v>
      </c>
      <c r="P20" s="3" t="s">
        <v>220</v>
      </c>
      <c r="Q20">
        <v>2762852.5</v>
      </c>
    </row>
    <row r="21" spans="1:17" x14ac:dyDescent="0.25">
      <c r="A21" s="3">
        <v>6</v>
      </c>
      <c r="B21">
        <v>108</v>
      </c>
      <c r="D21" s="3" t="s">
        <v>217</v>
      </c>
      <c r="E21" s="18">
        <v>95</v>
      </c>
      <c r="G21" s="3" t="s">
        <v>212</v>
      </c>
      <c r="H21" s="18">
        <v>1266674</v>
      </c>
      <c r="I21" s="18">
        <v>79676</v>
      </c>
      <c r="J21" s="18">
        <v>737314</v>
      </c>
      <c r="K21" s="18">
        <v>542420</v>
      </c>
      <c r="L21" s="18">
        <v>1339177</v>
      </c>
      <c r="M21" s="18">
        <v>1359166</v>
      </c>
      <c r="P21" s="3" t="s">
        <v>217</v>
      </c>
      <c r="Q21">
        <v>2143690</v>
      </c>
    </row>
    <row r="22" spans="1:17" x14ac:dyDescent="0.25">
      <c r="P22" s="3" t="s">
        <v>252</v>
      </c>
    </row>
    <row r="25" spans="1:17" ht="14.4" thickBot="1" x14ac:dyDescent="0.3">
      <c r="B25" s="15" t="s">
        <v>257</v>
      </c>
      <c r="C25" s="16">
        <v>572</v>
      </c>
      <c r="E25" s="2" t="s">
        <v>253</v>
      </c>
      <c r="F25" t="s">
        <v>248</v>
      </c>
    </row>
    <row r="26" spans="1:17" x14ac:dyDescent="0.25">
      <c r="E26" s="3" t="s">
        <v>215</v>
      </c>
      <c r="F26" s="18">
        <v>7338048</v>
      </c>
    </row>
    <row r="27" spans="1:17" x14ac:dyDescent="0.25">
      <c r="E27" s="3" t="s">
        <v>216</v>
      </c>
      <c r="F27" s="18">
        <v>7203742</v>
      </c>
    </row>
    <row r="28" spans="1:17" x14ac:dyDescent="0.25">
      <c r="E28" s="3" t="s">
        <v>218</v>
      </c>
      <c r="F28" s="18">
        <v>6875517</v>
      </c>
    </row>
    <row r="29" spans="1:17" x14ac:dyDescent="0.25">
      <c r="E29" s="3" t="s">
        <v>219</v>
      </c>
      <c r="F29" s="18">
        <v>5716734</v>
      </c>
    </row>
    <row r="30" spans="1:17" ht="14.4" thickBot="1" x14ac:dyDescent="0.3">
      <c r="E30" s="3" t="s">
        <v>220</v>
      </c>
      <c r="F30" s="18">
        <v>5525621</v>
      </c>
      <c r="G30" s="16">
        <v>36946973</v>
      </c>
    </row>
    <row r="31" spans="1:17" x14ac:dyDescent="0.25">
      <c r="E31" s="3" t="s">
        <v>217</v>
      </c>
      <c r="F31" s="18">
        <v>4287311</v>
      </c>
    </row>
    <row r="32" spans="1:17" x14ac:dyDescent="0.25">
      <c r="E32" s="3" t="s">
        <v>257</v>
      </c>
      <c r="F32" s="18">
        <v>36946973</v>
      </c>
    </row>
  </sheetData>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1"/>
  <sheetViews>
    <sheetView zoomScale="90" zoomScaleNormal="90" workbookViewId="0">
      <selection activeCell="P1" sqref="P1"/>
    </sheetView>
  </sheetViews>
  <sheetFormatPr defaultRowHeight="13.8" x14ac:dyDescent="0.25"/>
  <cols>
    <col min="1" max="1" width="12.69921875" customWidth="1"/>
    <col min="2" max="2" width="14.8984375" style="14" customWidth="1"/>
    <col min="3" max="3" width="14.3984375" customWidth="1"/>
    <col min="4" max="4" width="13.59765625" customWidth="1"/>
    <col min="5" max="5" width="12.69921875" customWidth="1"/>
    <col min="6" max="6" width="12" customWidth="1"/>
    <col min="7" max="7" width="14.296875" customWidth="1"/>
    <col min="8" max="8" width="10.8984375" customWidth="1"/>
    <col min="9" max="9" width="10.09765625" customWidth="1"/>
    <col min="10" max="10" width="10.69921875" customWidth="1"/>
    <col min="11" max="11" width="15.5" customWidth="1"/>
    <col min="14" max="14" width="12.5" customWidth="1"/>
    <col min="15" max="15" width="10.8984375" customWidth="1"/>
  </cols>
  <sheetData>
    <row r="1" spans="1:12" x14ac:dyDescent="0.25">
      <c r="A1" s="6" t="s">
        <v>0</v>
      </c>
      <c r="B1" s="13" t="s">
        <v>1</v>
      </c>
      <c r="C1" s="7" t="s">
        <v>249</v>
      </c>
      <c r="D1" s="7" t="s">
        <v>2</v>
      </c>
      <c r="E1" s="7" t="s">
        <v>3</v>
      </c>
      <c r="F1" s="7" t="s">
        <v>4</v>
      </c>
      <c r="G1" s="7" t="s">
        <v>5</v>
      </c>
      <c r="H1" s="7" t="s">
        <v>6</v>
      </c>
      <c r="I1" s="7" t="s">
        <v>7</v>
      </c>
      <c r="J1" s="7" t="s">
        <v>250</v>
      </c>
      <c r="K1" s="7" t="s">
        <v>8</v>
      </c>
      <c r="L1" s="8" t="s">
        <v>9</v>
      </c>
    </row>
    <row r="2" spans="1:12" x14ac:dyDescent="0.25">
      <c r="A2" s="4" t="s">
        <v>10</v>
      </c>
      <c r="B2" s="12">
        <v>45354</v>
      </c>
      <c r="C2" s="1">
        <f>MONTH(Table1[[#This Row],[Date]])</f>
        <v>3</v>
      </c>
      <c r="D2" s="1" t="s">
        <v>210</v>
      </c>
      <c r="E2" s="1" t="s">
        <v>215</v>
      </c>
      <c r="F2" s="1" t="s">
        <v>221</v>
      </c>
      <c r="G2" s="1">
        <v>1</v>
      </c>
      <c r="H2" s="1">
        <v>66048</v>
      </c>
      <c r="I2" s="1">
        <v>66048</v>
      </c>
      <c r="J2" s="1">
        <f>AVERAGE(Table1[[#This Row],[Revenue]],Table1[[#This Row],[Quantity Sold]])</f>
        <v>33024.5</v>
      </c>
      <c r="K2" s="1" t="s">
        <v>239</v>
      </c>
      <c r="L2" s="5" t="s">
        <v>245</v>
      </c>
    </row>
    <row r="3" spans="1:12" x14ac:dyDescent="0.25">
      <c r="A3" s="4" t="s">
        <v>11</v>
      </c>
      <c r="B3" s="12">
        <v>45355</v>
      </c>
      <c r="C3" s="1">
        <f>MONTH(Table1[[#This Row],[Date]])</f>
        <v>3</v>
      </c>
      <c r="D3" s="1" t="s">
        <v>211</v>
      </c>
      <c r="E3" s="1" t="s">
        <v>215</v>
      </c>
      <c r="F3" s="1" t="s">
        <v>222</v>
      </c>
      <c r="G3" s="1">
        <v>5</v>
      </c>
      <c r="H3" s="1">
        <v>41395</v>
      </c>
      <c r="I3" s="1">
        <v>206975</v>
      </c>
      <c r="J3" s="1">
        <f>AVERAGE(Table1[[#This Row],[Revenue]],Table1[[#This Row],[Quantity Sold]])</f>
        <v>103490</v>
      </c>
      <c r="K3" s="1" t="s">
        <v>240</v>
      </c>
      <c r="L3" s="5" t="s">
        <v>245</v>
      </c>
    </row>
    <row r="4" spans="1:12" x14ac:dyDescent="0.25">
      <c r="A4" s="4" t="s">
        <v>12</v>
      </c>
      <c r="B4" s="12">
        <v>45356</v>
      </c>
      <c r="C4" s="1">
        <f>MONTH(Table1[[#This Row],[Date]])</f>
        <v>3</v>
      </c>
      <c r="D4" s="1" t="s">
        <v>212</v>
      </c>
      <c r="E4" s="1" t="s">
        <v>216</v>
      </c>
      <c r="F4" s="1" t="s">
        <v>223</v>
      </c>
      <c r="G4" s="1">
        <v>2</v>
      </c>
      <c r="H4" s="1">
        <v>96237</v>
      </c>
      <c r="I4" s="1">
        <v>192474</v>
      </c>
      <c r="J4" s="1">
        <f>AVERAGE(Table1[[#This Row],[Revenue]],Table1[[#This Row],[Quantity Sold]])</f>
        <v>96238</v>
      </c>
      <c r="K4" s="1" t="s">
        <v>241</v>
      </c>
      <c r="L4" s="5" t="s">
        <v>245</v>
      </c>
    </row>
    <row r="5" spans="1:12" x14ac:dyDescent="0.25">
      <c r="A5" s="4" t="s">
        <v>13</v>
      </c>
      <c r="B5" s="12">
        <v>45357</v>
      </c>
      <c r="C5" s="1">
        <f>MONTH(Table1[[#This Row],[Date]])</f>
        <v>3</v>
      </c>
      <c r="D5" s="1" t="s">
        <v>211</v>
      </c>
      <c r="E5" s="1" t="s">
        <v>215</v>
      </c>
      <c r="F5" s="1" t="s">
        <v>222</v>
      </c>
      <c r="G5" s="1">
        <v>5</v>
      </c>
      <c r="H5" s="1">
        <v>84987</v>
      </c>
      <c r="I5" s="1">
        <v>424935</v>
      </c>
      <c r="J5" s="1">
        <f>AVERAGE(Table1[[#This Row],[Revenue]],Table1[[#This Row],[Quantity Sold]])</f>
        <v>212470</v>
      </c>
      <c r="K5" s="1" t="s">
        <v>241</v>
      </c>
      <c r="L5" s="5" t="s">
        <v>246</v>
      </c>
    </row>
    <row r="6" spans="1:12" x14ac:dyDescent="0.25">
      <c r="A6" s="4" t="s">
        <v>14</v>
      </c>
      <c r="B6" s="12">
        <v>45358</v>
      </c>
      <c r="C6" s="1">
        <f>MONTH(Table1[[#This Row],[Date]])</f>
        <v>3</v>
      </c>
      <c r="D6" s="1" t="s">
        <v>210</v>
      </c>
      <c r="E6" s="1" t="s">
        <v>216</v>
      </c>
      <c r="F6" s="1" t="s">
        <v>223</v>
      </c>
      <c r="G6" s="1">
        <v>4</v>
      </c>
      <c r="H6" s="1">
        <v>74597</v>
      </c>
      <c r="I6" s="1">
        <v>298388</v>
      </c>
      <c r="J6" s="1">
        <f>AVERAGE(Table1[[#This Row],[Revenue]],Table1[[#This Row],[Quantity Sold]])</f>
        <v>149196</v>
      </c>
      <c r="K6" s="1" t="s">
        <v>239</v>
      </c>
      <c r="L6" s="5" t="s">
        <v>246</v>
      </c>
    </row>
    <row r="7" spans="1:12" x14ac:dyDescent="0.25">
      <c r="A7" s="4" t="s">
        <v>15</v>
      </c>
      <c r="B7" s="12">
        <v>45359</v>
      </c>
      <c r="C7" s="1">
        <f>MONTH(Table1[[#This Row],[Date]])</f>
        <v>3</v>
      </c>
      <c r="D7" s="1" t="s">
        <v>213</v>
      </c>
      <c r="E7" s="1" t="s">
        <v>216</v>
      </c>
      <c r="F7" s="1" t="s">
        <v>223</v>
      </c>
      <c r="G7" s="1">
        <v>4</v>
      </c>
      <c r="H7" s="1">
        <v>42676</v>
      </c>
      <c r="I7" s="1">
        <v>170704</v>
      </c>
      <c r="J7" s="1">
        <f>AVERAGE(Table1[[#This Row],[Revenue]],Table1[[#This Row],[Quantity Sold]])</f>
        <v>85354</v>
      </c>
      <c r="K7" s="1" t="s">
        <v>241</v>
      </c>
      <c r="L7" s="5" t="s">
        <v>246</v>
      </c>
    </row>
    <row r="8" spans="1:12" x14ac:dyDescent="0.25">
      <c r="A8" s="4" t="s">
        <v>16</v>
      </c>
      <c r="B8" s="12">
        <v>45360</v>
      </c>
      <c r="C8" s="1">
        <f>MONTH(Table1[[#This Row],[Date]])</f>
        <v>3</v>
      </c>
      <c r="D8" s="1" t="s">
        <v>212</v>
      </c>
      <c r="E8" s="1" t="s">
        <v>216</v>
      </c>
      <c r="F8" s="1" t="s">
        <v>224</v>
      </c>
      <c r="G8" s="1">
        <v>4</v>
      </c>
      <c r="H8" s="1">
        <v>46361</v>
      </c>
      <c r="I8" s="1">
        <v>185444</v>
      </c>
      <c r="J8" s="1">
        <f>AVERAGE(Table1[[#This Row],[Revenue]],Table1[[#This Row],[Quantity Sold]])</f>
        <v>92724</v>
      </c>
      <c r="K8" s="1" t="s">
        <v>241</v>
      </c>
      <c r="L8" s="5" t="s">
        <v>246</v>
      </c>
    </row>
    <row r="9" spans="1:12" x14ac:dyDescent="0.25">
      <c r="A9" s="4" t="s">
        <v>17</v>
      </c>
      <c r="B9" s="12">
        <v>45361</v>
      </c>
      <c r="C9" s="1">
        <f>MONTH(Table1[[#This Row],[Date]])</f>
        <v>3</v>
      </c>
      <c r="D9" s="1" t="s">
        <v>212</v>
      </c>
      <c r="E9" s="1" t="s">
        <v>215</v>
      </c>
      <c r="F9" s="1" t="s">
        <v>222</v>
      </c>
      <c r="G9" s="1">
        <v>3</v>
      </c>
      <c r="H9" s="1">
        <v>55203</v>
      </c>
      <c r="I9" s="1">
        <v>165609</v>
      </c>
      <c r="J9" s="1">
        <f>AVERAGE(Table1[[#This Row],[Revenue]],Table1[[#This Row],[Quantity Sold]])</f>
        <v>82806</v>
      </c>
      <c r="K9" s="1" t="s">
        <v>240</v>
      </c>
      <c r="L9" s="5" t="s">
        <v>245</v>
      </c>
    </row>
    <row r="10" spans="1:12" x14ac:dyDescent="0.25">
      <c r="A10" s="4" t="s">
        <v>18</v>
      </c>
      <c r="B10" s="12">
        <v>45362</v>
      </c>
      <c r="C10" s="1">
        <f>MONTH(Table1[[#This Row],[Date]])</f>
        <v>3</v>
      </c>
      <c r="D10" s="1" t="s">
        <v>213</v>
      </c>
      <c r="E10" s="1" t="s">
        <v>217</v>
      </c>
      <c r="F10" s="1" t="s">
        <v>225</v>
      </c>
      <c r="G10" s="1">
        <v>2</v>
      </c>
      <c r="H10" s="1">
        <v>43238</v>
      </c>
      <c r="I10" s="1">
        <v>86476</v>
      </c>
      <c r="J10" s="1">
        <f>AVERAGE(Table1[[#This Row],[Revenue]],Table1[[#This Row],[Quantity Sold]])</f>
        <v>43239</v>
      </c>
      <c r="K10" s="1" t="s">
        <v>242</v>
      </c>
      <c r="L10" s="5" t="s">
        <v>246</v>
      </c>
    </row>
    <row r="11" spans="1:12" x14ac:dyDescent="0.25">
      <c r="A11" s="4" t="s">
        <v>19</v>
      </c>
      <c r="B11" s="12">
        <v>45363</v>
      </c>
      <c r="C11" s="1">
        <f>MONTH(Table1[[#This Row],[Date]])</f>
        <v>3</v>
      </c>
      <c r="D11" s="1" t="s">
        <v>213</v>
      </c>
      <c r="E11" s="1" t="s">
        <v>218</v>
      </c>
      <c r="F11" s="1" t="s">
        <v>226</v>
      </c>
      <c r="G11" s="1">
        <v>3</v>
      </c>
      <c r="H11" s="1">
        <v>57460</v>
      </c>
      <c r="I11" s="1">
        <v>172380</v>
      </c>
      <c r="J11" s="1">
        <f>AVERAGE(Table1[[#This Row],[Revenue]],Table1[[#This Row],[Quantity Sold]])</f>
        <v>86191.5</v>
      </c>
      <c r="K11" s="1" t="s">
        <v>243</v>
      </c>
      <c r="L11" s="5" t="s">
        <v>245</v>
      </c>
    </row>
    <row r="12" spans="1:12" x14ac:dyDescent="0.25">
      <c r="A12" s="4" t="s">
        <v>20</v>
      </c>
      <c r="B12" s="12">
        <v>45364</v>
      </c>
      <c r="C12" s="1">
        <f>MONTH(Table1[[#This Row],[Date]])</f>
        <v>3</v>
      </c>
      <c r="D12" s="1" t="s">
        <v>211</v>
      </c>
      <c r="E12" s="1" t="s">
        <v>219</v>
      </c>
      <c r="F12" s="1" t="s">
        <v>227</v>
      </c>
      <c r="G12" s="1">
        <v>2</v>
      </c>
      <c r="H12" s="1">
        <v>62087</v>
      </c>
      <c r="I12" s="1">
        <v>124174</v>
      </c>
      <c r="J12" s="1">
        <f>AVERAGE(Table1[[#This Row],[Revenue]],Table1[[#This Row],[Quantity Sold]])</f>
        <v>62088</v>
      </c>
      <c r="K12" s="1" t="s">
        <v>242</v>
      </c>
      <c r="L12" s="5" t="s">
        <v>246</v>
      </c>
    </row>
    <row r="13" spans="1:12" x14ac:dyDescent="0.25">
      <c r="A13" s="4" t="s">
        <v>21</v>
      </c>
      <c r="B13" s="12">
        <v>45365</v>
      </c>
      <c r="C13" s="1">
        <f>MONTH(Table1[[#This Row],[Date]])</f>
        <v>3</v>
      </c>
      <c r="D13" s="1" t="s">
        <v>213</v>
      </c>
      <c r="E13" s="1" t="s">
        <v>215</v>
      </c>
      <c r="F13" s="1" t="s">
        <v>222</v>
      </c>
      <c r="G13" s="1">
        <v>5</v>
      </c>
      <c r="H13" s="1">
        <v>58785</v>
      </c>
      <c r="I13" s="1">
        <v>293925</v>
      </c>
      <c r="J13" s="1">
        <f>AVERAGE(Table1[[#This Row],[Revenue]],Table1[[#This Row],[Quantity Sold]])</f>
        <v>146965</v>
      </c>
      <c r="K13" s="1" t="s">
        <v>240</v>
      </c>
      <c r="L13" s="5" t="s">
        <v>245</v>
      </c>
    </row>
    <row r="14" spans="1:12" x14ac:dyDescent="0.25">
      <c r="A14" s="4" t="s">
        <v>22</v>
      </c>
      <c r="B14" s="12">
        <v>45366</v>
      </c>
      <c r="C14" s="1">
        <f>MONTH(Table1[[#This Row],[Date]])</f>
        <v>3</v>
      </c>
      <c r="D14" s="1" t="s">
        <v>210</v>
      </c>
      <c r="E14" s="1" t="s">
        <v>216</v>
      </c>
      <c r="F14" s="1" t="s">
        <v>228</v>
      </c>
      <c r="G14" s="1">
        <v>4</v>
      </c>
      <c r="H14" s="1">
        <v>65093</v>
      </c>
      <c r="I14" s="1">
        <v>260372</v>
      </c>
      <c r="J14" s="1">
        <f>AVERAGE(Table1[[#This Row],[Revenue]],Table1[[#This Row],[Quantity Sold]])</f>
        <v>130188</v>
      </c>
      <c r="K14" s="1" t="s">
        <v>241</v>
      </c>
      <c r="L14" s="5" t="s">
        <v>246</v>
      </c>
    </row>
    <row r="15" spans="1:12" x14ac:dyDescent="0.25">
      <c r="A15" s="4" t="s">
        <v>23</v>
      </c>
      <c r="B15" s="12">
        <v>45367</v>
      </c>
      <c r="C15" s="1">
        <f>MONTH(Table1[[#This Row],[Date]])</f>
        <v>3</v>
      </c>
      <c r="D15" s="1" t="s">
        <v>211</v>
      </c>
      <c r="E15" s="1" t="s">
        <v>218</v>
      </c>
      <c r="F15" s="1" t="s">
        <v>229</v>
      </c>
      <c r="G15" s="1">
        <v>4</v>
      </c>
      <c r="H15" s="1">
        <v>81856</v>
      </c>
      <c r="I15" s="1">
        <v>327424</v>
      </c>
      <c r="J15" s="1">
        <f>AVERAGE(Table1[[#This Row],[Revenue]],Table1[[#This Row],[Quantity Sold]])</f>
        <v>163714</v>
      </c>
      <c r="K15" s="1" t="s">
        <v>239</v>
      </c>
      <c r="L15" s="5" t="s">
        <v>246</v>
      </c>
    </row>
    <row r="16" spans="1:12" x14ac:dyDescent="0.25">
      <c r="A16" s="4" t="s">
        <v>24</v>
      </c>
      <c r="B16" s="12">
        <v>45368</v>
      </c>
      <c r="C16" s="1">
        <f>MONTH(Table1[[#This Row],[Date]])</f>
        <v>3</v>
      </c>
      <c r="D16" s="1" t="s">
        <v>211</v>
      </c>
      <c r="E16" s="1" t="s">
        <v>218</v>
      </c>
      <c r="F16" s="1" t="s">
        <v>230</v>
      </c>
      <c r="G16" s="1">
        <v>5</v>
      </c>
      <c r="H16" s="1">
        <v>64438</v>
      </c>
      <c r="I16" s="1">
        <v>322190</v>
      </c>
      <c r="J16" s="1">
        <f>AVERAGE(Table1[[#This Row],[Revenue]],Table1[[#This Row],[Quantity Sold]])</f>
        <v>161097.5</v>
      </c>
      <c r="K16" s="1" t="s">
        <v>241</v>
      </c>
      <c r="L16" s="5" t="s">
        <v>246</v>
      </c>
    </row>
    <row r="17" spans="1:12" x14ac:dyDescent="0.25">
      <c r="A17" s="4" t="s">
        <v>25</v>
      </c>
      <c r="B17" s="12">
        <v>45369</v>
      </c>
      <c r="C17" s="1">
        <f>MONTH(Table1[[#This Row],[Date]])</f>
        <v>3</v>
      </c>
      <c r="D17" s="1" t="s">
        <v>212</v>
      </c>
      <c r="E17" s="1" t="s">
        <v>217</v>
      </c>
      <c r="F17" s="1" t="s">
        <v>225</v>
      </c>
      <c r="G17" s="1">
        <v>2</v>
      </c>
      <c r="H17" s="1">
        <v>96784</v>
      </c>
      <c r="I17" s="1">
        <v>193568</v>
      </c>
      <c r="J17" s="1">
        <f>AVERAGE(Table1[[#This Row],[Revenue]],Table1[[#This Row],[Quantity Sold]])</f>
        <v>96785</v>
      </c>
      <c r="K17" s="1" t="s">
        <v>240</v>
      </c>
      <c r="L17" s="5" t="s">
        <v>245</v>
      </c>
    </row>
    <row r="18" spans="1:12" x14ac:dyDescent="0.25">
      <c r="A18" s="4" t="s">
        <v>26</v>
      </c>
      <c r="B18" s="12">
        <v>45370</v>
      </c>
      <c r="C18" s="1">
        <f>MONTH(Table1[[#This Row],[Date]])</f>
        <v>3</v>
      </c>
      <c r="D18" s="1" t="s">
        <v>212</v>
      </c>
      <c r="E18" s="1" t="s">
        <v>218</v>
      </c>
      <c r="F18" s="1" t="s">
        <v>229</v>
      </c>
      <c r="G18" s="1">
        <v>2</v>
      </c>
      <c r="H18" s="1">
        <v>85333</v>
      </c>
      <c r="I18" s="1">
        <v>170666</v>
      </c>
      <c r="J18" s="1">
        <f>AVERAGE(Table1[[#This Row],[Revenue]],Table1[[#This Row],[Quantity Sold]])</f>
        <v>85334</v>
      </c>
      <c r="K18" s="1" t="s">
        <v>242</v>
      </c>
      <c r="L18" s="5" t="s">
        <v>246</v>
      </c>
    </row>
    <row r="19" spans="1:12" x14ac:dyDescent="0.25">
      <c r="A19" s="4" t="s">
        <v>27</v>
      </c>
      <c r="B19" s="12">
        <v>45371</v>
      </c>
      <c r="C19" s="1">
        <f>MONTH(Table1[[#This Row],[Date]])</f>
        <v>3</v>
      </c>
      <c r="D19" s="1" t="s">
        <v>212</v>
      </c>
      <c r="E19" s="1" t="s">
        <v>219</v>
      </c>
      <c r="F19" s="1" t="s">
        <v>231</v>
      </c>
      <c r="G19" s="1">
        <v>5</v>
      </c>
      <c r="H19" s="1">
        <v>62953</v>
      </c>
      <c r="I19" s="1">
        <v>314765</v>
      </c>
      <c r="J19" s="1">
        <f>AVERAGE(Table1[[#This Row],[Revenue]],Table1[[#This Row],[Quantity Sold]])</f>
        <v>157385</v>
      </c>
      <c r="K19" s="1" t="s">
        <v>243</v>
      </c>
      <c r="L19" s="5" t="s">
        <v>245</v>
      </c>
    </row>
    <row r="20" spans="1:12" x14ac:dyDescent="0.25">
      <c r="A20" s="4" t="s">
        <v>28</v>
      </c>
      <c r="B20" s="12">
        <v>45372</v>
      </c>
      <c r="C20" s="1">
        <f>MONTH(Table1[[#This Row],[Date]])</f>
        <v>3</v>
      </c>
      <c r="D20" s="1" t="s">
        <v>213</v>
      </c>
      <c r="E20" s="1" t="s">
        <v>215</v>
      </c>
      <c r="F20" s="1" t="s">
        <v>222</v>
      </c>
      <c r="G20" s="1">
        <v>3</v>
      </c>
      <c r="H20" s="1">
        <v>74587</v>
      </c>
      <c r="I20" s="1">
        <v>223761</v>
      </c>
      <c r="J20" s="1">
        <f>AVERAGE(Table1[[#This Row],[Revenue]],Table1[[#This Row],[Quantity Sold]])</f>
        <v>111882</v>
      </c>
      <c r="K20" s="1" t="s">
        <v>242</v>
      </c>
      <c r="L20" s="5" t="s">
        <v>245</v>
      </c>
    </row>
    <row r="21" spans="1:12" x14ac:dyDescent="0.25">
      <c r="A21" s="4" t="s">
        <v>29</v>
      </c>
      <c r="B21" s="12">
        <v>45373</v>
      </c>
      <c r="C21" s="1">
        <f>MONTH(Table1[[#This Row],[Date]])</f>
        <v>3</v>
      </c>
      <c r="D21" s="1" t="s">
        <v>214</v>
      </c>
      <c r="E21" s="1" t="s">
        <v>220</v>
      </c>
      <c r="F21" s="1" t="s">
        <v>232</v>
      </c>
      <c r="G21" s="1">
        <v>3</v>
      </c>
      <c r="H21" s="1">
        <v>95612</v>
      </c>
      <c r="I21" s="1">
        <v>286836</v>
      </c>
      <c r="J21" s="1">
        <f>AVERAGE(Table1[[#This Row],[Revenue]],Table1[[#This Row],[Quantity Sold]])</f>
        <v>143419.5</v>
      </c>
      <c r="K21" s="1" t="s">
        <v>240</v>
      </c>
      <c r="L21" s="5" t="s">
        <v>246</v>
      </c>
    </row>
    <row r="22" spans="1:12" x14ac:dyDescent="0.25">
      <c r="A22" s="4" t="s">
        <v>30</v>
      </c>
      <c r="B22" s="12">
        <v>45374</v>
      </c>
      <c r="C22" s="1">
        <f>MONTH(Table1[[#This Row],[Date]])</f>
        <v>3</v>
      </c>
      <c r="D22" s="1" t="s">
        <v>213</v>
      </c>
      <c r="E22" s="1" t="s">
        <v>215</v>
      </c>
      <c r="F22" s="1" t="s">
        <v>222</v>
      </c>
      <c r="G22" s="1">
        <v>5</v>
      </c>
      <c r="H22" s="1">
        <v>56071</v>
      </c>
      <c r="I22" s="1">
        <v>280355</v>
      </c>
      <c r="J22" s="1">
        <f>AVERAGE(Table1[[#This Row],[Revenue]],Table1[[#This Row],[Quantity Sold]])</f>
        <v>140180</v>
      </c>
      <c r="K22" s="1" t="s">
        <v>239</v>
      </c>
      <c r="L22" s="5" t="s">
        <v>245</v>
      </c>
    </row>
    <row r="23" spans="1:12" x14ac:dyDescent="0.25">
      <c r="A23" s="4" t="s">
        <v>31</v>
      </c>
      <c r="B23" s="12">
        <v>45375</v>
      </c>
      <c r="C23" s="1">
        <f>MONTH(Table1[[#This Row],[Date]])</f>
        <v>3</v>
      </c>
      <c r="D23" s="1" t="s">
        <v>213</v>
      </c>
      <c r="E23" s="1" t="s">
        <v>219</v>
      </c>
      <c r="F23" s="1" t="s">
        <v>231</v>
      </c>
      <c r="G23" s="1">
        <v>4</v>
      </c>
      <c r="H23" s="1">
        <v>32552</v>
      </c>
      <c r="I23" s="1">
        <v>130208</v>
      </c>
      <c r="J23" s="1">
        <f>AVERAGE(Table1[[#This Row],[Revenue]],Table1[[#This Row],[Quantity Sold]])</f>
        <v>65106</v>
      </c>
      <c r="K23" s="1" t="s">
        <v>244</v>
      </c>
      <c r="L23" s="5" t="s">
        <v>245</v>
      </c>
    </row>
    <row r="24" spans="1:12" x14ac:dyDescent="0.25">
      <c r="A24" s="4" t="s">
        <v>32</v>
      </c>
      <c r="B24" s="12">
        <v>45376</v>
      </c>
      <c r="C24" s="1">
        <f>MONTH(Table1[[#This Row],[Date]])</f>
        <v>3</v>
      </c>
      <c r="D24" s="1" t="s">
        <v>211</v>
      </c>
      <c r="E24" s="1" t="s">
        <v>216</v>
      </c>
      <c r="F24" s="1" t="s">
        <v>223</v>
      </c>
      <c r="G24" s="1">
        <v>5</v>
      </c>
      <c r="H24" s="1">
        <v>40322</v>
      </c>
      <c r="I24" s="1">
        <v>201610</v>
      </c>
      <c r="J24" s="1">
        <f>AVERAGE(Table1[[#This Row],[Revenue]],Table1[[#This Row],[Quantity Sold]])</f>
        <v>100807.5</v>
      </c>
      <c r="K24" s="1" t="s">
        <v>240</v>
      </c>
      <c r="L24" s="5" t="s">
        <v>245</v>
      </c>
    </row>
    <row r="25" spans="1:12" x14ac:dyDescent="0.25">
      <c r="A25" s="4" t="s">
        <v>33</v>
      </c>
      <c r="B25" s="12">
        <v>45377</v>
      </c>
      <c r="C25" s="1">
        <f>MONTH(Table1[[#This Row],[Date]])</f>
        <v>3</v>
      </c>
      <c r="D25" s="1" t="s">
        <v>214</v>
      </c>
      <c r="E25" s="1" t="s">
        <v>218</v>
      </c>
      <c r="F25" s="1" t="s">
        <v>229</v>
      </c>
      <c r="G25" s="1">
        <v>4</v>
      </c>
      <c r="H25" s="1">
        <v>51643</v>
      </c>
      <c r="I25" s="1">
        <v>206572</v>
      </c>
      <c r="J25" s="1">
        <f>AVERAGE(Table1[[#This Row],[Revenue]],Table1[[#This Row],[Quantity Sold]])</f>
        <v>103288</v>
      </c>
      <c r="K25" s="1" t="s">
        <v>241</v>
      </c>
      <c r="L25" s="5" t="s">
        <v>246</v>
      </c>
    </row>
    <row r="26" spans="1:12" x14ac:dyDescent="0.25">
      <c r="A26" s="4" t="s">
        <v>34</v>
      </c>
      <c r="B26" s="12">
        <v>45378</v>
      </c>
      <c r="C26" s="1">
        <f>MONTH(Table1[[#This Row],[Date]])</f>
        <v>3</v>
      </c>
      <c r="D26" s="1" t="s">
        <v>213</v>
      </c>
      <c r="E26" s="1" t="s">
        <v>218</v>
      </c>
      <c r="F26" s="1" t="s">
        <v>229</v>
      </c>
      <c r="G26" s="1">
        <v>2</v>
      </c>
      <c r="H26" s="1">
        <v>70857</v>
      </c>
      <c r="I26" s="1">
        <v>141714</v>
      </c>
      <c r="J26" s="1">
        <f>AVERAGE(Table1[[#This Row],[Revenue]],Table1[[#This Row],[Quantity Sold]])</f>
        <v>70858</v>
      </c>
      <c r="K26" s="1" t="s">
        <v>242</v>
      </c>
      <c r="L26" s="5" t="s">
        <v>246</v>
      </c>
    </row>
    <row r="27" spans="1:12" x14ac:dyDescent="0.25">
      <c r="A27" s="4" t="s">
        <v>35</v>
      </c>
      <c r="B27" s="12">
        <v>45379</v>
      </c>
      <c r="C27" s="1">
        <f>MONTH(Table1[[#This Row],[Date]])</f>
        <v>3</v>
      </c>
      <c r="D27" s="1" t="s">
        <v>212</v>
      </c>
      <c r="E27" s="1" t="s">
        <v>216</v>
      </c>
      <c r="F27" s="1" t="s">
        <v>223</v>
      </c>
      <c r="G27" s="1">
        <v>2</v>
      </c>
      <c r="H27" s="1">
        <v>38392</v>
      </c>
      <c r="I27" s="1">
        <v>76784</v>
      </c>
      <c r="J27" s="1">
        <f>AVERAGE(Table1[[#This Row],[Revenue]],Table1[[#This Row],[Quantity Sold]])</f>
        <v>38393</v>
      </c>
      <c r="K27" s="1" t="s">
        <v>241</v>
      </c>
      <c r="L27" s="5" t="s">
        <v>245</v>
      </c>
    </row>
    <row r="28" spans="1:12" x14ac:dyDescent="0.25">
      <c r="A28" s="4" t="s">
        <v>36</v>
      </c>
      <c r="B28" s="12">
        <v>45380</v>
      </c>
      <c r="C28" s="1">
        <f>MONTH(Table1[[#This Row],[Date]])</f>
        <v>3</v>
      </c>
      <c r="D28" s="1" t="s">
        <v>212</v>
      </c>
      <c r="E28" s="1" t="s">
        <v>219</v>
      </c>
      <c r="F28" s="1" t="s">
        <v>233</v>
      </c>
      <c r="G28" s="1">
        <v>1</v>
      </c>
      <c r="H28" s="1">
        <v>39305</v>
      </c>
      <c r="I28" s="1">
        <v>39305</v>
      </c>
      <c r="J28" s="1">
        <f>AVERAGE(Table1[[#This Row],[Revenue]],Table1[[#This Row],[Quantity Sold]])</f>
        <v>19653</v>
      </c>
      <c r="K28" s="1" t="s">
        <v>239</v>
      </c>
      <c r="L28" s="5" t="s">
        <v>245</v>
      </c>
    </row>
    <row r="29" spans="1:12" x14ac:dyDescent="0.25">
      <c r="A29" s="4" t="s">
        <v>37</v>
      </c>
      <c r="B29" s="12">
        <v>45381</v>
      </c>
      <c r="C29" s="1">
        <f>MONTH(Table1[[#This Row],[Date]])</f>
        <v>3</v>
      </c>
      <c r="D29" s="1" t="s">
        <v>213</v>
      </c>
      <c r="E29" s="1" t="s">
        <v>216</v>
      </c>
      <c r="F29" s="1" t="s">
        <v>228</v>
      </c>
      <c r="G29" s="1">
        <v>1</v>
      </c>
      <c r="H29" s="1">
        <v>97391</v>
      </c>
      <c r="I29" s="1">
        <v>97391</v>
      </c>
      <c r="J29" s="1">
        <f>AVERAGE(Table1[[#This Row],[Revenue]],Table1[[#This Row],[Quantity Sold]])</f>
        <v>48696</v>
      </c>
      <c r="K29" s="1" t="s">
        <v>243</v>
      </c>
      <c r="L29" s="5" t="s">
        <v>246</v>
      </c>
    </row>
    <row r="30" spans="1:12" x14ac:dyDescent="0.25">
      <c r="A30" s="4" t="s">
        <v>38</v>
      </c>
      <c r="B30" s="12">
        <v>45382</v>
      </c>
      <c r="C30" s="1">
        <f>MONTH(Table1[[#This Row],[Date]])</f>
        <v>3</v>
      </c>
      <c r="D30" s="1" t="s">
        <v>211</v>
      </c>
      <c r="E30" s="1" t="s">
        <v>218</v>
      </c>
      <c r="F30" s="1" t="s">
        <v>229</v>
      </c>
      <c r="G30" s="1">
        <v>2</v>
      </c>
      <c r="H30" s="1">
        <v>91953</v>
      </c>
      <c r="I30" s="1">
        <v>183906</v>
      </c>
      <c r="J30" s="1">
        <f>AVERAGE(Table1[[#This Row],[Revenue]],Table1[[#This Row],[Quantity Sold]])</f>
        <v>91954</v>
      </c>
      <c r="K30" s="1" t="s">
        <v>242</v>
      </c>
      <c r="L30" s="5" t="s">
        <v>245</v>
      </c>
    </row>
    <row r="31" spans="1:12" x14ac:dyDescent="0.25">
      <c r="A31" s="4" t="s">
        <v>39</v>
      </c>
      <c r="B31" s="12">
        <v>45383</v>
      </c>
      <c r="C31" s="1">
        <f>MONTH(Table1[[#This Row],[Date]])</f>
        <v>4</v>
      </c>
      <c r="D31" s="1" t="s">
        <v>211</v>
      </c>
      <c r="E31" s="1" t="s">
        <v>216</v>
      </c>
      <c r="F31" s="1" t="s">
        <v>223</v>
      </c>
      <c r="G31" s="1">
        <v>4</v>
      </c>
      <c r="H31" s="1">
        <v>76438</v>
      </c>
      <c r="I31" s="1">
        <v>305752</v>
      </c>
      <c r="J31" s="1">
        <f>AVERAGE(Table1[[#This Row],[Revenue]],Table1[[#This Row],[Quantity Sold]])</f>
        <v>152878</v>
      </c>
      <c r="K31" s="1" t="s">
        <v>242</v>
      </c>
      <c r="L31" s="5" t="s">
        <v>245</v>
      </c>
    </row>
    <row r="32" spans="1:12" x14ac:dyDescent="0.25">
      <c r="A32" s="4" t="s">
        <v>40</v>
      </c>
      <c r="B32" s="12">
        <v>45384</v>
      </c>
      <c r="C32" s="1">
        <f>MONTH(Table1[[#This Row],[Date]])</f>
        <v>4</v>
      </c>
      <c r="D32" s="1" t="s">
        <v>213</v>
      </c>
      <c r="E32" s="1" t="s">
        <v>215</v>
      </c>
      <c r="F32" s="1" t="s">
        <v>222</v>
      </c>
      <c r="G32" s="1">
        <v>1</v>
      </c>
      <c r="H32" s="1">
        <v>37944</v>
      </c>
      <c r="I32" s="1">
        <v>37944</v>
      </c>
      <c r="J32" s="1">
        <f>AVERAGE(Table1[[#This Row],[Revenue]],Table1[[#This Row],[Quantity Sold]])</f>
        <v>18972.5</v>
      </c>
      <c r="K32" s="1" t="s">
        <v>240</v>
      </c>
      <c r="L32" s="5" t="s">
        <v>245</v>
      </c>
    </row>
    <row r="33" spans="1:12" x14ac:dyDescent="0.25">
      <c r="A33" s="4" t="s">
        <v>41</v>
      </c>
      <c r="B33" s="12">
        <v>45385</v>
      </c>
      <c r="C33" s="1">
        <f>MONTH(Table1[[#This Row],[Date]])</f>
        <v>4</v>
      </c>
      <c r="D33" s="1" t="s">
        <v>211</v>
      </c>
      <c r="E33" s="1" t="s">
        <v>218</v>
      </c>
      <c r="F33" s="1" t="s">
        <v>230</v>
      </c>
      <c r="G33" s="1">
        <v>5</v>
      </c>
      <c r="H33" s="1">
        <v>88800</v>
      </c>
      <c r="I33" s="1">
        <v>444000</v>
      </c>
      <c r="J33" s="1">
        <f>AVERAGE(Table1[[#This Row],[Revenue]],Table1[[#This Row],[Quantity Sold]])</f>
        <v>222002.5</v>
      </c>
      <c r="K33" s="1" t="s">
        <v>239</v>
      </c>
      <c r="L33" s="5" t="s">
        <v>246</v>
      </c>
    </row>
    <row r="34" spans="1:12" x14ac:dyDescent="0.25">
      <c r="A34" s="4" t="s">
        <v>42</v>
      </c>
      <c r="B34" s="12">
        <v>45386</v>
      </c>
      <c r="C34" s="1">
        <f>MONTH(Table1[[#This Row],[Date]])</f>
        <v>4</v>
      </c>
      <c r="D34" s="1" t="s">
        <v>212</v>
      </c>
      <c r="E34" s="1" t="s">
        <v>220</v>
      </c>
      <c r="F34" s="1" t="s">
        <v>232</v>
      </c>
      <c r="G34" s="1">
        <v>1</v>
      </c>
      <c r="H34" s="1">
        <v>88082</v>
      </c>
      <c r="I34" s="1">
        <v>88082</v>
      </c>
      <c r="J34" s="1">
        <f>AVERAGE(Table1[[#This Row],[Revenue]],Table1[[#This Row],[Quantity Sold]])</f>
        <v>44041.5</v>
      </c>
      <c r="K34" s="1" t="s">
        <v>240</v>
      </c>
      <c r="L34" s="5" t="s">
        <v>245</v>
      </c>
    </row>
    <row r="35" spans="1:12" x14ac:dyDescent="0.25">
      <c r="A35" s="4" t="s">
        <v>43</v>
      </c>
      <c r="B35" s="12">
        <v>45387</v>
      </c>
      <c r="C35" s="1">
        <f>MONTH(Table1[[#This Row],[Date]])</f>
        <v>4</v>
      </c>
      <c r="D35" s="1" t="s">
        <v>211</v>
      </c>
      <c r="E35" s="1" t="s">
        <v>216</v>
      </c>
      <c r="F35" s="1" t="s">
        <v>223</v>
      </c>
      <c r="G35" s="1">
        <v>2</v>
      </c>
      <c r="H35" s="1">
        <v>83269</v>
      </c>
      <c r="I35" s="1">
        <v>166538</v>
      </c>
      <c r="J35" s="1">
        <f>AVERAGE(Table1[[#This Row],[Revenue]],Table1[[#This Row],[Quantity Sold]])</f>
        <v>83270</v>
      </c>
      <c r="K35" s="1" t="s">
        <v>239</v>
      </c>
      <c r="L35" s="5" t="s">
        <v>246</v>
      </c>
    </row>
    <row r="36" spans="1:12" x14ac:dyDescent="0.25">
      <c r="A36" s="4" t="s">
        <v>44</v>
      </c>
      <c r="B36" s="12">
        <v>45388</v>
      </c>
      <c r="C36" s="1">
        <f>MONTH(Table1[[#This Row],[Date]])</f>
        <v>4</v>
      </c>
      <c r="D36" s="1" t="s">
        <v>213</v>
      </c>
      <c r="E36" s="1" t="s">
        <v>216</v>
      </c>
      <c r="F36" s="1" t="s">
        <v>223</v>
      </c>
      <c r="G36" s="1">
        <v>4</v>
      </c>
      <c r="H36" s="1">
        <v>30282</v>
      </c>
      <c r="I36" s="1">
        <v>121128</v>
      </c>
      <c r="J36" s="1">
        <f>AVERAGE(Table1[[#This Row],[Revenue]],Table1[[#This Row],[Quantity Sold]])</f>
        <v>60566</v>
      </c>
      <c r="K36" s="1" t="s">
        <v>242</v>
      </c>
      <c r="L36" s="5" t="s">
        <v>246</v>
      </c>
    </row>
    <row r="37" spans="1:12" x14ac:dyDescent="0.25">
      <c r="A37" s="4" t="s">
        <v>45</v>
      </c>
      <c r="B37" s="12">
        <v>45389</v>
      </c>
      <c r="C37" s="1">
        <f>MONTH(Table1[[#This Row],[Date]])</f>
        <v>4</v>
      </c>
      <c r="D37" s="1" t="s">
        <v>210</v>
      </c>
      <c r="E37" s="1" t="s">
        <v>220</v>
      </c>
      <c r="F37" s="1" t="s">
        <v>234</v>
      </c>
      <c r="G37" s="1">
        <v>5</v>
      </c>
      <c r="H37" s="1">
        <v>93788</v>
      </c>
      <c r="I37" s="1">
        <v>468940</v>
      </c>
      <c r="J37" s="1">
        <f>AVERAGE(Table1[[#This Row],[Revenue]],Table1[[#This Row],[Quantity Sold]])</f>
        <v>234472.5</v>
      </c>
      <c r="K37" s="1" t="s">
        <v>244</v>
      </c>
      <c r="L37" s="5" t="s">
        <v>245</v>
      </c>
    </row>
    <row r="38" spans="1:12" x14ac:dyDescent="0.25">
      <c r="A38" s="4" t="s">
        <v>46</v>
      </c>
      <c r="B38" s="12">
        <v>45390</v>
      </c>
      <c r="C38" s="1">
        <f>MONTH(Table1[[#This Row],[Date]])</f>
        <v>4</v>
      </c>
      <c r="D38" s="1" t="s">
        <v>212</v>
      </c>
      <c r="E38" s="1" t="s">
        <v>216</v>
      </c>
      <c r="F38" s="1" t="s">
        <v>224</v>
      </c>
      <c r="G38" s="1">
        <v>5</v>
      </c>
      <c r="H38" s="1">
        <v>37989</v>
      </c>
      <c r="I38" s="1">
        <v>189945</v>
      </c>
      <c r="J38" s="1">
        <f>AVERAGE(Table1[[#This Row],[Revenue]],Table1[[#This Row],[Quantity Sold]])</f>
        <v>94975</v>
      </c>
      <c r="K38" s="1" t="s">
        <v>240</v>
      </c>
      <c r="L38" s="5" t="s">
        <v>246</v>
      </c>
    </row>
    <row r="39" spans="1:12" x14ac:dyDescent="0.25">
      <c r="A39" s="4" t="s">
        <v>47</v>
      </c>
      <c r="B39" s="12">
        <v>45391</v>
      </c>
      <c r="C39" s="1">
        <f>MONTH(Table1[[#This Row],[Date]])</f>
        <v>4</v>
      </c>
      <c r="D39" s="1" t="s">
        <v>212</v>
      </c>
      <c r="E39" s="1" t="s">
        <v>219</v>
      </c>
      <c r="F39" s="1" t="s">
        <v>227</v>
      </c>
      <c r="G39" s="1">
        <v>2</v>
      </c>
      <c r="H39" s="1">
        <v>37455</v>
      </c>
      <c r="I39" s="1">
        <v>74910</v>
      </c>
      <c r="J39" s="1">
        <f>AVERAGE(Table1[[#This Row],[Revenue]],Table1[[#This Row],[Quantity Sold]])</f>
        <v>37456</v>
      </c>
      <c r="K39" s="1" t="s">
        <v>239</v>
      </c>
      <c r="L39" s="5" t="s">
        <v>245</v>
      </c>
    </row>
    <row r="40" spans="1:12" x14ac:dyDescent="0.25">
      <c r="A40" s="4" t="s">
        <v>48</v>
      </c>
      <c r="B40" s="12">
        <v>45392</v>
      </c>
      <c r="C40" s="1">
        <f>MONTH(Table1[[#This Row],[Date]])</f>
        <v>4</v>
      </c>
      <c r="D40" s="1" t="s">
        <v>214</v>
      </c>
      <c r="E40" s="1" t="s">
        <v>219</v>
      </c>
      <c r="F40" s="1" t="s">
        <v>233</v>
      </c>
      <c r="G40" s="1">
        <v>2</v>
      </c>
      <c r="H40" s="1">
        <v>82923</v>
      </c>
      <c r="I40" s="1">
        <v>165846</v>
      </c>
      <c r="J40" s="1">
        <f>AVERAGE(Table1[[#This Row],[Revenue]],Table1[[#This Row],[Quantity Sold]])</f>
        <v>82924</v>
      </c>
      <c r="K40" s="1" t="s">
        <v>239</v>
      </c>
      <c r="L40" s="5" t="s">
        <v>245</v>
      </c>
    </row>
    <row r="41" spans="1:12" x14ac:dyDescent="0.25">
      <c r="A41" s="4" t="s">
        <v>49</v>
      </c>
      <c r="B41" s="12">
        <v>45393</v>
      </c>
      <c r="C41" s="1">
        <f>MONTH(Table1[[#This Row],[Date]])</f>
        <v>4</v>
      </c>
      <c r="D41" s="1" t="s">
        <v>213</v>
      </c>
      <c r="E41" s="1" t="s">
        <v>219</v>
      </c>
      <c r="F41" s="1" t="s">
        <v>233</v>
      </c>
      <c r="G41" s="1">
        <v>4</v>
      </c>
      <c r="H41" s="1">
        <v>98522</v>
      </c>
      <c r="I41" s="1">
        <v>394088</v>
      </c>
      <c r="J41" s="1">
        <f>AVERAGE(Table1[[#This Row],[Revenue]],Table1[[#This Row],[Quantity Sold]])</f>
        <v>197046</v>
      </c>
      <c r="K41" s="1" t="s">
        <v>239</v>
      </c>
      <c r="L41" s="5" t="s">
        <v>246</v>
      </c>
    </row>
    <row r="42" spans="1:12" x14ac:dyDescent="0.25">
      <c r="A42" s="4" t="s">
        <v>50</v>
      </c>
      <c r="B42" s="12">
        <v>45394</v>
      </c>
      <c r="C42" s="1">
        <f>MONTH(Table1[[#This Row],[Date]])</f>
        <v>4</v>
      </c>
      <c r="D42" s="1" t="s">
        <v>213</v>
      </c>
      <c r="E42" s="1" t="s">
        <v>218</v>
      </c>
      <c r="F42" s="1" t="s">
        <v>226</v>
      </c>
      <c r="G42" s="1">
        <v>4</v>
      </c>
      <c r="H42" s="1">
        <v>47154</v>
      </c>
      <c r="I42" s="1">
        <v>188616</v>
      </c>
      <c r="J42" s="1">
        <f>AVERAGE(Table1[[#This Row],[Revenue]],Table1[[#This Row],[Quantity Sold]])</f>
        <v>94310</v>
      </c>
      <c r="K42" s="1" t="s">
        <v>242</v>
      </c>
      <c r="L42" s="5" t="s">
        <v>246</v>
      </c>
    </row>
    <row r="43" spans="1:12" x14ac:dyDescent="0.25">
      <c r="A43" s="4" t="s">
        <v>51</v>
      </c>
      <c r="B43" s="12">
        <v>45395</v>
      </c>
      <c r="C43" s="1">
        <f>MONTH(Table1[[#This Row],[Date]])</f>
        <v>4</v>
      </c>
      <c r="D43" s="1" t="s">
        <v>214</v>
      </c>
      <c r="E43" s="1" t="s">
        <v>216</v>
      </c>
      <c r="F43" s="1" t="s">
        <v>223</v>
      </c>
      <c r="G43" s="1">
        <v>4</v>
      </c>
      <c r="H43" s="1">
        <v>43104</v>
      </c>
      <c r="I43" s="1">
        <v>172416</v>
      </c>
      <c r="J43" s="1">
        <f>AVERAGE(Table1[[#This Row],[Revenue]],Table1[[#This Row],[Quantity Sold]])</f>
        <v>86210</v>
      </c>
      <c r="K43" s="1" t="s">
        <v>239</v>
      </c>
      <c r="L43" s="5" t="s">
        <v>246</v>
      </c>
    </row>
    <row r="44" spans="1:12" x14ac:dyDescent="0.25">
      <c r="A44" s="4" t="s">
        <v>52</v>
      </c>
      <c r="B44" s="12">
        <v>45396</v>
      </c>
      <c r="C44" s="1">
        <f>MONTH(Table1[[#This Row],[Date]])</f>
        <v>4</v>
      </c>
      <c r="D44" s="1" t="s">
        <v>213</v>
      </c>
      <c r="E44" s="1" t="s">
        <v>218</v>
      </c>
      <c r="F44" s="1" t="s">
        <v>226</v>
      </c>
      <c r="G44" s="1">
        <v>1</v>
      </c>
      <c r="H44" s="1">
        <v>62018</v>
      </c>
      <c r="I44" s="1">
        <v>62018</v>
      </c>
      <c r="J44" s="1">
        <f>AVERAGE(Table1[[#This Row],[Revenue]],Table1[[#This Row],[Quantity Sold]])</f>
        <v>31009.5</v>
      </c>
      <c r="K44" s="1" t="s">
        <v>239</v>
      </c>
      <c r="L44" s="5" t="s">
        <v>246</v>
      </c>
    </row>
    <row r="45" spans="1:12" x14ac:dyDescent="0.25">
      <c r="A45" s="4" t="s">
        <v>53</v>
      </c>
      <c r="B45" s="12">
        <v>45397</v>
      </c>
      <c r="C45" s="1">
        <f>MONTH(Table1[[#This Row],[Date]])</f>
        <v>4</v>
      </c>
      <c r="D45" s="1" t="s">
        <v>214</v>
      </c>
      <c r="E45" s="1" t="s">
        <v>219</v>
      </c>
      <c r="F45" s="1" t="s">
        <v>227</v>
      </c>
      <c r="G45" s="1">
        <v>3</v>
      </c>
      <c r="H45" s="1">
        <v>99329</v>
      </c>
      <c r="I45" s="1">
        <v>297987</v>
      </c>
      <c r="J45" s="1">
        <f>AVERAGE(Table1[[#This Row],[Revenue]],Table1[[#This Row],[Quantity Sold]])</f>
        <v>148995</v>
      </c>
      <c r="K45" s="1" t="s">
        <v>244</v>
      </c>
      <c r="L45" s="5" t="s">
        <v>245</v>
      </c>
    </row>
    <row r="46" spans="1:12" x14ac:dyDescent="0.25">
      <c r="A46" s="4" t="s">
        <v>54</v>
      </c>
      <c r="B46" s="12">
        <v>45398</v>
      </c>
      <c r="C46" s="1">
        <f>MONTH(Table1[[#This Row],[Date]])</f>
        <v>4</v>
      </c>
      <c r="D46" s="1" t="s">
        <v>210</v>
      </c>
      <c r="E46" s="1" t="s">
        <v>218</v>
      </c>
      <c r="F46" s="1" t="s">
        <v>226</v>
      </c>
      <c r="G46" s="1">
        <v>1</v>
      </c>
      <c r="H46" s="1">
        <v>44029</v>
      </c>
      <c r="I46" s="1">
        <v>44029</v>
      </c>
      <c r="J46" s="1">
        <f>AVERAGE(Table1[[#This Row],[Revenue]],Table1[[#This Row],[Quantity Sold]])</f>
        <v>22015</v>
      </c>
      <c r="K46" s="1" t="s">
        <v>244</v>
      </c>
      <c r="L46" s="5" t="s">
        <v>246</v>
      </c>
    </row>
    <row r="47" spans="1:12" x14ac:dyDescent="0.25">
      <c r="A47" s="4" t="s">
        <v>55</v>
      </c>
      <c r="B47" s="12">
        <v>45399</v>
      </c>
      <c r="C47" s="1">
        <f>MONTH(Table1[[#This Row],[Date]])</f>
        <v>4</v>
      </c>
      <c r="D47" s="1" t="s">
        <v>213</v>
      </c>
      <c r="E47" s="1" t="s">
        <v>219</v>
      </c>
      <c r="F47" s="1" t="s">
        <v>233</v>
      </c>
      <c r="G47" s="1">
        <v>3</v>
      </c>
      <c r="H47" s="1">
        <v>56685</v>
      </c>
      <c r="I47" s="1">
        <v>170055</v>
      </c>
      <c r="J47" s="1">
        <f>AVERAGE(Table1[[#This Row],[Revenue]],Table1[[#This Row],[Quantity Sold]])</f>
        <v>85029</v>
      </c>
      <c r="K47" s="1" t="s">
        <v>241</v>
      </c>
      <c r="L47" s="5" t="s">
        <v>246</v>
      </c>
    </row>
    <row r="48" spans="1:12" x14ac:dyDescent="0.25">
      <c r="A48" s="4" t="s">
        <v>56</v>
      </c>
      <c r="B48" s="12">
        <v>45400</v>
      </c>
      <c r="C48" s="1">
        <f>MONTH(Table1[[#This Row],[Date]])</f>
        <v>4</v>
      </c>
      <c r="D48" s="1" t="s">
        <v>212</v>
      </c>
      <c r="E48" s="1" t="s">
        <v>217</v>
      </c>
      <c r="F48" s="1" t="s">
        <v>225</v>
      </c>
      <c r="G48" s="1">
        <v>1</v>
      </c>
      <c r="H48" s="1">
        <v>85518</v>
      </c>
      <c r="I48" s="1">
        <v>85518</v>
      </c>
      <c r="J48" s="1">
        <f>AVERAGE(Table1[[#This Row],[Revenue]],Table1[[#This Row],[Quantity Sold]])</f>
        <v>42759.5</v>
      </c>
      <c r="K48" s="1" t="s">
        <v>240</v>
      </c>
      <c r="L48" s="5" t="s">
        <v>246</v>
      </c>
    </row>
    <row r="49" spans="1:12" x14ac:dyDescent="0.25">
      <c r="A49" s="4" t="s">
        <v>57</v>
      </c>
      <c r="B49" s="12">
        <v>45401</v>
      </c>
      <c r="C49" s="1">
        <f>MONTH(Table1[[#This Row],[Date]])</f>
        <v>4</v>
      </c>
      <c r="D49" s="1" t="s">
        <v>214</v>
      </c>
      <c r="E49" s="1" t="s">
        <v>218</v>
      </c>
      <c r="F49" s="1" t="s">
        <v>229</v>
      </c>
      <c r="G49" s="1">
        <v>3</v>
      </c>
      <c r="H49" s="1">
        <v>51178</v>
      </c>
      <c r="I49" s="1">
        <v>153534</v>
      </c>
      <c r="J49" s="1">
        <f>AVERAGE(Table1[[#This Row],[Revenue]],Table1[[#This Row],[Quantity Sold]])</f>
        <v>76768.5</v>
      </c>
      <c r="K49" s="1" t="s">
        <v>243</v>
      </c>
      <c r="L49" s="5" t="s">
        <v>246</v>
      </c>
    </row>
    <row r="50" spans="1:12" x14ac:dyDescent="0.25">
      <c r="A50" s="4" t="s">
        <v>58</v>
      </c>
      <c r="B50" s="12">
        <v>45402</v>
      </c>
      <c r="C50" s="1">
        <f>MONTH(Table1[[#This Row],[Date]])</f>
        <v>4</v>
      </c>
      <c r="D50" s="1" t="s">
        <v>210</v>
      </c>
      <c r="E50" s="1" t="s">
        <v>219</v>
      </c>
      <c r="F50" s="1" t="s">
        <v>233</v>
      </c>
      <c r="G50" s="1">
        <v>1</v>
      </c>
      <c r="H50" s="1">
        <v>39862</v>
      </c>
      <c r="I50" s="1">
        <v>39862</v>
      </c>
      <c r="J50" s="1">
        <f>AVERAGE(Table1[[#This Row],[Revenue]],Table1[[#This Row],[Quantity Sold]])</f>
        <v>19931.5</v>
      </c>
      <c r="K50" s="1" t="s">
        <v>241</v>
      </c>
      <c r="L50" s="5" t="s">
        <v>245</v>
      </c>
    </row>
    <row r="51" spans="1:12" x14ac:dyDescent="0.25">
      <c r="A51" s="4" t="s">
        <v>59</v>
      </c>
      <c r="B51" s="12">
        <v>45403</v>
      </c>
      <c r="C51" s="1">
        <f>MONTH(Table1[[#This Row],[Date]])</f>
        <v>4</v>
      </c>
      <c r="D51" s="1" t="s">
        <v>210</v>
      </c>
      <c r="E51" s="1" t="s">
        <v>217</v>
      </c>
      <c r="F51" s="1" t="s">
        <v>235</v>
      </c>
      <c r="G51" s="1">
        <v>5</v>
      </c>
      <c r="H51" s="1">
        <v>49410</v>
      </c>
      <c r="I51" s="1">
        <v>247050</v>
      </c>
      <c r="J51" s="1">
        <f>AVERAGE(Table1[[#This Row],[Revenue]],Table1[[#This Row],[Quantity Sold]])</f>
        <v>123527.5</v>
      </c>
      <c r="K51" s="1" t="s">
        <v>240</v>
      </c>
      <c r="L51" s="5" t="s">
        <v>246</v>
      </c>
    </row>
    <row r="52" spans="1:12" x14ac:dyDescent="0.25">
      <c r="A52" s="4" t="s">
        <v>60</v>
      </c>
      <c r="B52" s="12">
        <v>45404</v>
      </c>
      <c r="C52" s="1">
        <f>MONTH(Table1[[#This Row],[Date]])</f>
        <v>4</v>
      </c>
      <c r="D52" s="1" t="s">
        <v>210</v>
      </c>
      <c r="E52" s="1" t="s">
        <v>217</v>
      </c>
      <c r="F52" s="1" t="s">
        <v>225</v>
      </c>
      <c r="G52" s="1">
        <v>3</v>
      </c>
      <c r="H52" s="1">
        <v>57535</v>
      </c>
      <c r="I52" s="1">
        <v>172605</v>
      </c>
      <c r="J52" s="1">
        <f>AVERAGE(Table1[[#This Row],[Revenue]],Table1[[#This Row],[Quantity Sold]])</f>
        <v>86304</v>
      </c>
      <c r="K52" s="1" t="s">
        <v>243</v>
      </c>
      <c r="L52" s="5" t="s">
        <v>245</v>
      </c>
    </row>
    <row r="53" spans="1:12" x14ac:dyDescent="0.25">
      <c r="A53" s="4" t="s">
        <v>61</v>
      </c>
      <c r="B53" s="12">
        <v>45405</v>
      </c>
      <c r="C53" s="1">
        <f>MONTH(Table1[[#This Row],[Date]])</f>
        <v>4</v>
      </c>
      <c r="D53" s="1" t="s">
        <v>210</v>
      </c>
      <c r="E53" s="1" t="s">
        <v>217</v>
      </c>
      <c r="F53" s="1" t="s">
        <v>235</v>
      </c>
      <c r="G53" s="1">
        <v>4</v>
      </c>
      <c r="H53" s="1">
        <v>50257</v>
      </c>
      <c r="I53" s="1">
        <v>201028</v>
      </c>
      <c r="J53" s="1">
        <f>AVERAGE(Table1[[#This Row],[Revenue]],Table1[[#This Row],[Quantity Sold]])</f>
        <v>100516</v>
      </c>
      <c r="K53" s="1" t="s">
        <v>239</v>
      </c>
      <c r="L53" s="5" t="s">
        <v>246</v>
      </c>
    </row>
    <row r="54" spans="1:12" x14ac:dyDescent="0.25">
      <c r="A54" s="4" t="s">
        <v>62</v>
      </c>
      <c r="B54" s="12">
        <v>45406</v>
      </c>
      <c r="C54" s="1">
        <f>MONTH(Table1[[#This Row],[Date]])</f>
        <v>4</v>
      </c>
      <c r="D54" s="1" t="s">
        <v>210</v>
      </c>
      <c r="E54" s="1" t="s">
        <v>216</v>
      </c>
      <c r="F54" s="1" t="s">
        <v>223</v>
      </c>
      <c r="G54" s="1">
        <v>3</v>
      </c>
      <c r="H54" s="1">
        <v>83964</v>
      </c>
      <c r="I54" s="1">
        <v>251892</v>
      </c>
      <c r="J54" s="1">
        <f>AVERAGE(Table1[[#This Row],[Revenue]],Table1[[#This Row],[Quantity Sold]])</f>
        <v>125947.5</v>
      </c>
      <c r="K54" s="1" t="s">
        <v>244</v>
      </c>
      <c r="L54" s="5" t="s">
        <v>245</v>
      </c>
    </row>
    <row r="55" spans="1:12" x14ac:dyDescent="0.25">
      <c r="A55" s="4" t="s">
        <v>63</v>
      </c>
      <c r="B55" s="12">
        <v>45407</v>
      </c>
      <c r="C55" s="1">
        <f>MONTH(Table1[[#This Row],[Date]])</f>
        <v>4</v>
      </c>
      <c r="D55" s="1" t="s">
        <v>210</v>
      </c>
      <c r="E55" s="1" t="s">
        <v>215</v>
      </c>
      <c r="F55" s="1" t="s">
        <v>221</v>
      </c>
      <c r="G55" s="1">
        <v>4</v>
      </c>
      <c r="H55" s="1">
        <v>35075</v>
      </c>
      <c r="I55" s="1">
        <v>140300</v>
      </c>
      <c r="J55" s="1">
        <f>AVERAGE(Table1[[#This Row],[Revenue]],Table1[[#This Row],[Quantity Sold]])</f>
        <v>70152</v>
      </c>
      <c r="K55" s="1" t="s">
        <v>239</v>
      </c>
      <c r="L55" s="5" t="s">
        <v>246</v>
      </c>
    </row>
    <row r="56" spans="1:12" x14ac:dyDescent="0.25">
      <c r="A56" s="4" t="s">
        <v>64</v>
      </c>
      <c r="B56" s="12">
        <v>45408</v>
      </c>
      <c r="C56" s="1">
        <f>MONTH(Table1[[#This Row],[Date]])</f>
        <v>4</v>
      </c>
      <c r="D56" s="1" t="s">
        <v>210</v>
      </c>
      <c r="E56" s="1" t="s">
        <v>217</v>
      </c>
      <c r="F56" s="1" t="s">
        <v>236</v>
      </c>
      <c r="G56" s="1">
        <v>2</v>
      </c>
      <c r="H56" s="1">
        <v>59219</v>
      </c>
      <c r="I56" s="1">
        <v>118438</v>
      </c>
      <c r="J56" s="1">
        <f>AVERAGE(Table1[[#This Row],[Revenue]],Table1[[#This Row],[Quantity Sold]])</f>
        <v>59220</v>
      </c>
      <c r="K56" s="1" t="s">
        <v>242</v>
      </c>
      <c r="L56" s="5" t="s">
        <v>246</v>
      </c>
    </row>
    <row r="57" spans="1:12" x14ac:dyDescent="0.25">
      <c r="A57" s="4" t="s">
        <v>65</v>
      </c>
      <c r="B57" s="12">
        <v>45409</v>
      </c>
      <c r="C57" s="1">
        <f>MONTH(Table1[[#This Row],[Date]])</f>
        <v>4</v>
      </c>
      <c r="D57" s="1" t="s">
        <v>214</v>
      </c>
      <c r="E57" s="1" t="s">
        <v>217</v>
      </c>
      <c r="F57" s="1" t="s">
        <v>225</v>
      </c>
      <c r="G57" s="1">
        <v>3</v>
      </c>
      <c r="H57" s="1">
        <v>76025</v>
      </c>
      <c r="I57" s="1">
        <v>228075</v>
      </c>
      <c r="J57" s="1">
        <f>AVERAGE(Table1[[#This Row],[Revenue]],Table1[[#This Row],[Quantity Sold]])</f>
        <v>114039</v>
      </c>
      <c r="K57" s="1" t="s">
        <v>242</v>
      </c>
      <c r="L57" s="5" t="s">
        <v>246</v>
      </c>
    </row>
    <row r="58" spans="1:12" x14ac:dyDescent="0.25">
      <c r="A58" s="4" t="s">
        <v>66</v>
      </c>
      <c r="B58" s="12">
        <v>45410</v>
      </c>
      <c r="C58" s="1">
        <f>MONTH(Table1[[#This Row],[Date]])</f>
        <v>4</v>
      </c>
      <c r="D58" s="1" t="s">
        <v>213</v>
      </c>
      <c r="E58" s="1" t="s">
        <v>216</v>
      </c>
      <c r="F58" s="1" t="s">
        <v>223</v>
      </c>
      <c r="G58" s="1">
        <v>3</v>
      </c>
      <c r="H58" s="1">
        <v>53405</v>
      </c>
      <c r="I58" s="1">
        <v>160215</v>
      </c>
      <c r="J58" s="1">
        <f>AVERAGE(Table1[[#This Row],[Revenue]],Table1[[#This Row],[Quantity Sold]])</f>
        <v>80109</v>
      </c>
      <c r="K58" s="1" t="s">
        <v>240</v>
      </c>
      <c r="L58" s="5" t="s">
        <v>245</v>
      </c>
    </row>
    <row r="59" spans="1:12" x14ac:dyDescent="0.25">
      <c r="A59" s="4" t="s">
        <v>67</v>
      </c>
      <c r="B59" s="12">
        <v>45411</v>
      </c>
      <c r="C59" s="1">
        <f>MONTH(Table1[[#This Row],[Date]])</f>
        <v>4</v>
      </c>
      <c r="D59" s="1" t="s">
        <v>214</v>
      </c>
      <c r="E59" s="1" t="s">
        <v>219</v>
      </c>
      <c r="F59" s="1" t="s">
        <v>231</v>
      </c>
      <c r="G59" s="1">
        <v>3</v>
      </c>
      <c r="H59" s="1">
        <v>71114</v>
      </c>
      <c r="I59" s="1">
        <v>213342</v>
      </c>
      <c r="J59" s="1">
        <f>AVERAGE(Table1[[#This Row],[Revenue]],Table1[[#This Row],[Quantity Sold]])</f>
        <v>106672.5</v>
      </c>
      <c r="K59" s="1" t="s">
        <v>241</v>
      </c>
      <c r="L59" s="5" t="s">
        <v>245</v>
      </c>
    </row>
    <row r="60" spans="1:12" x14ac:dyDescent="0.25">
      <c r="A60" s="4" t="s">
        <v>68</v>
      </c>
      <c r="B60" s="12">
        <v>45412</v>
      </c>
      <c r="C60" s="1">
        <f>MONTH(Table1[[#This Row],[Date]])</f>
        <v>4</v>
      </c>
      <c r="D60" s="1" t="s">
        <v>211</v>
      </c>
      <c r="E60" s="1" t="s">
        <v>220</v>
      </c>
      <c r="F60" s="1" t="s">
        <v>234</v>
      </c>
      <c r="G60" s="1">
        <v>2</v>
      </c>
      <c r="H60" s="1">
        <v>63386</v>
      </c>
      <c r="I60" s="1">
        <v>126772</v>
      </c>
      <c r="J60" s="1">
        <f>AVERAGE(Table1[[#This Row],[Revenue]],Table1[[#This Row],[Quantity Sold]])</f>
        <v>63387</v>
      </c>
      <c r="K60" s="1" t="s">
        <v>240</v>
      </c>
      <c r="L60" s="5" t="s">
        <v>245</v>
      </c>
    </row>
    <row r="61" spans="1:12" x14ac:dyDescent="0.25">
      <c r="A61" s="4" t="s">
        <v>69</v>
      </c>
      <c r="B61" s="12">
        <v>45413</v>
      </c>
      <c r="C61" s="1">
        <f>MONTH(Table1[[#This Row],[Date]])</f>
        <v>5</v>
      </c>
      <c r="D61" s="1" t="s">
        <v>213</v>
      </c>
      <c r="E61" s="1" t="s">
        <v>217</v>
      </c>
      <c r="F61" s="1" t="s">
        <v>236</v>
      </c>
      <c r="G61" s="1">
        <v>1</v>
      </c>
      <c r="H61" s="1">
        <v>73279</v>
      </c>
      <c r="I61" s="1">
        <v>73279</v>
      </c>
      <c r="J61" s="1">
        <f>AVERAGE(Table1[[#This Row],[Revenue]],Table1[[#This Row],[Quantity Sold]])</f>
        <v>36640</v>
      </c>
      <c r="K61" s="1" t="s">
        <v>243</v>
      </c>
      <c r="L61" s="5" t="s">
        <v>245</v>
      </c>
    </row>
    <row r="62" spans="1:12" x14ac:dyDescent="0.25">
      <c r="A62" s="4" t="s">
        <v>70</v>
      </c>
      <c r="B62" s="12">
        <v>45414</v>
      </c>
      <c r="C62" s="1">
        <f>MONTH(Table1[[#This Row],[Date]])</f>
        <v>5</v>
      </c>
      <c r="D62" s="1" t="s">
        <v>211</v>
      </c>
      <c r="E62" s="1" t="s">
        <v>215</v>
      </c>
      <c r="F62" s="1" t="s">
        <v>237</v>
      </c>
      <c r="G62" s="1">
        <v>5</v>
      </c>
      <c r="H62" s="1">
        <v>70538</v>
      </c>
      <c r="I62" s="1">
        <v>352690</v>
      </c>
      <c r="J62" s="1">
        <f>AVERAGE(Table1[[#This Row],[Revenue]],Table1[[#This Row],[Quantity Sold]])</f>
        <v>176347.5</v>
      </c>
      <c r="K62" s="1" t="s">
        <v>244</v>
      </c>
      <c r="L62" s="5" t="s">
        <v>246</v>
      </c>
    </row>
    <row r="63" spans="1:12" x14ac:dyDescent="0.25">
      <c r="A63" s="4" t="s">
        <v>71</v>
      </c>
      <c r="B63" s="12">
        <v>45415</v>
      </c>
      <c r="C63" s="1">
        <f>MONTH(Table1[[#This Row],[Date]])</f>
        <v>5</v>
      </c>
      <c r="D63" s="1" t="s">
        <v>211</v>
      </c>
      <c r="E63" s="1" t="s">
        <v>215</v>
      </c>
      <c r="F63" s="1" t="s">
        <v>237</v>
      </c>
      <c r="G63" s="1">
        <v>5</v>
      </c>
      <c r="H63" s="1">
        <v>46683</v>
      </c>
      <c r="I63" s="1">
        <v>233415</v>
      </c>
      <c r="J63" s="1">
        <f>AVERAGE(Table1[[#This Row],[Revenue]],Table1[[#This Row],[Quantity Sold]])</f>
        <v>116710</v>
      </c>
      <c r="K63" s="1" t="s">
        <v>243</v>
      </c>
      <c r="L63" s="5" t="s">
        <v>246</v>
      </c>
    </row>
    <row r="64" spans="1:12" x14ac:dyDescent="0.25">
      <c r="A64" s="4" t="s">
        <v>72</v>
      </c>
      <c r="B64" s="12">
        <v>45416</v>
      </c>
      <c r="C64" s="1">
        <f>MONTH(Table1[[#This Row],[Date]])</f>
        <v>5</v>
      </c>
      <c r="D64" s="1" t="s">
        <v>214</v>
      </c>
      <c r="E64" s="1" t="s">
        <v>215</v>
      </c>
      <c r="F64" s="1" t="s">
        <v>222</v>
      </c>
      <c r="G64" s="1">
        <v>2</v>
      </c>
      <c r="H64" s="1">
        <v>69446</v>
      </c>
      <c r="I64" s="1">
        <v>138892</v>
      </c>
      <c r="J64" s="1">
        <f>AVERAGE(Table1[[#This Row],[Revenue]],Table1[[#This Row],[Quantity Sold]])</f>
        <v>69447</v>
      </c>
      <c r="K64" s="1" t="s">
        <v>240</v>
      </c>
      <c r="L64" s="5" t="s">
        <v>246</v>
      </c>
    </row>
    <row r="65" spans="1:12" x14ac:dyDescent="0.25">
      <c r="A65" s="4" t="s">
        <v>73</v>
      </c>
      <c r="B65" s="12">
        <v>45417</v>
      </c>
      <c r="C65" s="1">
        <f>MONTH(Table1[[#This Row],[Date]])</f>
        <v>5</v>
      </c>
      <c r="D65" s="1" t="s">
        <v>211</v>
      </c>
      <c r="E65" s="1" t="s">
        <v>217</v>
      </c>
      <c r="F65" s="1" t="s">
        <v>225</v>
      </c>
      <c r="G65" s="1">
        <v>4</v>
      </c>
      <c r="H65" s="1">
        <v>72237</v>
      </c>
      <c r="I65" s="1">
        <v>288948</v>
      </c>
      <c r="J65" s="1">
        <f>AVERAGE(Table1[[#This Row],[Revenue]],Table1[[#This Row],[Quantity Sold]])</f>
        <v>144476</v>
      </c>
      <c r="K65" s="1" t="s">
        <v>242</v>
      </c>
      <c r="L65" s="5" t="s">
        <v>245</v>
      </c>
    </row>
    <row r="66" spans="1:12" x14ac:dyDescent="0.25">
      <c r="A66" s="4" t="s">
        <v>74</v>
      </c>
      <c r="B66" s="12">
        <v>45418</v>
      </c>
      <c r="C66" s="1">
        <f>MONTH(Table1[[#This Row],[Date]])</f>
        <v>5</v>
      </c>
      <c r="D66" s="1" t="s">
        <v>214</v>
      </c>
      <c r="E66" s="1" t="s">
        <v>219</v>
      </c>
      <c r="F66" s="1" t="s">
        <v>231</v>
      </c>
      <c r="G66" s="1">
        <v>2</v>
      </c>
      <c r="H66" s="1">
        <v>41114</v>
      </c>
      <c r="I66" s="1">
        <v>82228</v>
      </c>
      <c r="J66" s="1">
        <f>AVERAGE(Table1[[#This Row],[Revenue]],Table1[[#This Row],[Quantity Sold]])</f>
        <v>41115</v>
      </c>
      <c r="K66" s="1" t="s">
        <v>243</v>
      </c>
      <c r="L66" s="5" t="s">
        <v>246</v>
      </c>
    </row>
    <row r="67" spans="1:12" x14ac:dyDescent="0.25">
      <c r="A67" s="4" t="s">
        <v>75</v>
      </c>
      <c r="B67" s="12">
        <v>45419</v>
      </c>
      <c r="C67" s="1">
        <f>MONTH(Table1[[#This Row],[Date]])</f>
        <v>5</v>
      </c>
      <c r="D67" s="1" t="s">
        <v>210</v>
      </c>
      <c r="E67" s="1" t="s">
        <v>216</v>
      </c>
      <c r="F67" s="1" t="s">
        <v>223</v>
      </c>
      <c r="G67" s="1">
        <v>3</v>
      </c>
      <c r="H67" s="1">
        <v>59444</v>
      </c>
      <c r="I67" s="1">
        <v>178332</v>
      </c>
      <c r="J67" s="1">
        <f>AVERAGE(Table1[[#This Row],[Revenue]],Table1[[#This Row],[Quantity Sold]])</f>
        <v>89167.5</v>
      </c>
      <c r="K67" s="1" t="s">
        <v>240</v>
      </c>
      <c r="L67" s="5" t="s">
        <v>245</v>
      </c>
    </row>
    <row r="68" spans="1:12" x14ac:dyDescent="0.25">
      <c r="A68" s="4" t="s">
        <v>76</v>
      </c>
      <c r="B68" s="12">
        <v>45420</v>
      </c>
      <c r="C68" s="1">
        <f>MONTH(Table1[[#This Row],[Date]])</f>
        <v>5</v>
      </c>
      <c r="D68" s="1" t="s">
        <v>211</v>
      </c>
      <c r="E68" s="1" t="s">
        <v>218</v>
      </c>
      <c r="F68" s="1" t="s">
        <v>226</v>
      </c>
      <c r="G68" s="1">
        <v>5</v>
      </c>
      <c r="H68" s="1">
        <v>39545</v>
      </c>
      <c r="I68" s="1">
        <v>197725</v>
      </c>
      <c r="J68" s="1">
        <f>AVERAGE(Table1[[#This Row],[Revenue]],Table1[[#This Row],[Quantity Sold]])</f>
        <v>98865</v>
      </c>
      <c r="K68" s="1" t="s">
        <v>243</v>
      </c>
      <c r="L68" s="5" t="s">
        <v>245</v>
      </c>
    </row>
    <row r="69" spans="1:12" x14ac:dyDescent="0.25">
      <c r="A69" s="4" t="s">
        <v>77</v>
      </c>
      <c r="B69" s="12">
        <v>45421</v>
      </c>
      <c r="C69" s="1">
        <f>MONTH(Table1[[#This Row],[Date]])</f>
        <v>5</v>
      </c>
      <c r="D69" s="1" t="s">
        <v>210</v>
      </c>
      <c r="E69" s="1" t="s">
        <v>215</v>
      </c>
      <c r="F69" s="1" t="s">
        <v>222</v>
      </c>
      <c r="G69" s="1">
        <v>4</v>
      </c>
      <c r="H69" s="1">
        <v>94799</v>
      </c>
      <c r="I69" s="1">
        <v>379196</v>
      </c>
      <c r="J69" s="1">
        <f>AVERAGE(Table1[[#This Row],[Revenue]],Table1[[#This Row],[Quantity Sold]])</f>
        <v>189600</v>
      </c>
      <c r="K69" s="1" t="s">
        <v>239</v>
      </c>
      <c r="L69" s="5" t="s">
        <v>245</v>
      </c>
    </row>
    <row r="70" spans="1:12" x14ac:dyDescent="0.25">
      <c r="A70" s="4" t="s">
        <v>78</v>
      </c>
      <c r="B70" s="12">
        <v>45422</v>
      </c>
      <c r="C70" s="1">
        <f>MONTH(Table1[[#This Row],[Date]])</f>
        <v>5</v>
      </c>
      <c r="D70" s="1" t="s">
        <v>214</v>
      </c>
      <c r="E70" s="1" t="s">
        <v>216</v>
      </c>
      <c r="F70" s="1" t="s">
        <v>228</v>
      </c>
      <c r="G70" s="1">
        <v>2</v>
      </c>
      <c r="H70" s="1">
        <v>53053</v>
      </c>
      <c r="I70" s="1">
        <v>106106</v>
      </c>
      <c r="J70" s="1">
        <f>AVERAGE(Table1[[#This Row],[Revenue]],Table1[[#This Row],[Quantity Sold]])</f>
        <v>53054</v>
      </c>
      <c r="K70" s="1" t="s">
        <v>242</v>
      </c>
      <c r="L70" s="5" t="s">
        <v>245</v>
      </c>
    </row>
    <row r="71" spans="1:12" x14ac:dyDescent="0.25">
      <c r="A71" s="4" t="s">
        <v>79</v>
      </c>
      <c r="B71" s="12">
        <v>45423</v>
      </c>
      <c r="C71" s="1">
        <f>MONTH(Table1[[#This Row],[Date]])</f>
        <v>5</v>
      </c>
      <c r="D71" s="1" t="s">
        <v>211</v>
      </c>
      <c r="E71" s="1" t="s">
        <v>219</v>
      </c>
      <c r="F71" s="1" t="s">
        <v>233</v>
      </c>
      <c r="G71" s="1">
        <v>1</v>
      </c>
      <c r="H71" s="1">
        <v>89829</v>
      </c>
      <c r="I71" s="1">
        <v>89829</v>
      </c>
      <c r="J71" s="1">
        <f>AVERAGE(Table1[[#This Row],[Revenue]],Table1[[#This Row],[Quantity Sold]])</f>
        <v>44915</v>
      </c>
      <c r="K71" s="1" t="s">
        <v>243</v>
      </c>
      <c r="L71" s="5" t="s">
        <v>246</v>
      </c>
    </row>
    <row r="72" spans="1:12" x14ac:dyDescent="0.25">
      <c r="A72" s="4" t="s">
        <v>80</v>
      </c>
      <c r="B72" s="12">
        <v>45424</v>
      </c>
      <c r="C72" s="1">
        <f>MONTH(Table1[[#This Row],[Date]])</f>
        <v>5</v>
      </c>
      <c r="D72" s="1" t="s">
        <v>211</v>
      </c>
      <c r="E72" s="1" t="s">
        <v>220</v>
      </c>
      <c r="F72" s="1" t="s">
        <v>234</v>
      </c>
      <c r="G72" s="1">
        <v>5</v>
      </c>
      <c r="H72" s="1">
        <v>85933</v>
      </c>
      <c r="I72" s="1">
        <v>429665</v>
      </c>
      <c r="J72" s="1">
        <f>AVERAGE(Table1[[#This Row],[Revenue]],Table1[[#This Row],[Quantity Sold]])</f>
        <v>214835</v>
      </c>
      <c r="K72" s="1" t="s">
        <v>239</v>
      </c>
      <c r="L72" s="5" t="s">
        <v>246</v>
      </c>
    </row>
    <row r="73" spans="1:12" x14ac:dyDescent="0.25">
      <c r="A73" s="4" t="s">
        <v>81</v>
      </c>
      <c r="B73" s="12">
        <v>45425</v>
      </c>
      <c r="C73" s="1">
        <f>MONTH(Table1[[#This Row],[Date]])</f>
        <v>5</v>
      </c>
      <c r="D73" s="1" t="s">
        <v>211</v>
      </c>
      <c r="E73" s="1" t="s">
        <v>220</v>
      </c>
      <c r="F73" s="1" t="s">
        <v>238</v>
      </c>
      <c r="G73" s="1">
        <v>2</v>
      </c>
      <c r="H73" s="1">
        <v>66347</v>
      </c>
      <c r="I73" s="1">
        <v>132694</v>
      </c>
      <c r="J73" s="1">
        <f>AVERAGE(Table1[[#This Row],[Revenue]],Table1[[#This Row],[Quantity Sold]])</f>
        <v>66348</v>
      </c>
      <c r="K73" s="1" t="s">
        <v>243</v>
      </c>
      <c r="L73" s="5" t="s">
        <v>245</v>
      </c>
    </row>
    <row r="74" spans="1:12" x14ac:dyDescent="0.25">
      <c r="A74" s="4" t="s">
        <v>82</v>
      </c>
      <c r="B74" s="12">
        <v>45426</v>
      </c>
      <c r="C74" s="1">
        <f>MONTH(Table1[[#This Row],[Date]])</f>
        <v>5</v>
      </c>
      <c r="D74" s="1" t="s">
        <v>213</v>
      </c>
      <c r="E74" s="1" t="s">
        <v>217</v>
      </c>
      <c r="F74" s="1" t="s">
        <v>236</v>
      </c>
      <c r="G74" s="1">
        <v>1</v>
      </c>
      <c r="H74" s="1">
        <v>67450</v>
      </c>
      <c r="I74" s="1">
        <v>67450</v>
      </c>
      <c r="J74" s="1">
        <f>AVERAGE(Table1[[#This Row],[Revenue]],Table1[[#This Row],[Quantity Sold]])</f>
        <v>33725.5</v>
      </c>
      <c r="K74" s="1" t="s">
        <v>244</v>
      </c>
      <c r="L74" s="5" t="s">
        <v>246</v>
      </c>
    </row>
    <row r="75" spans="1:12" x14ac:dyDescent="0.25">
      <c r="A75" s="4" t="s">
        <v>83</v>
      </c>
      <c r="B75" s="12">
        <v>45427</v>
      </c>
      <c r="C75" s="1">
        <f>MONTH(Table1[[#This Row],[Date]])</f>
        <v>5</v>
      </c>
      <c r="D75" s="1" t="s">
        <v>211</v>
      </c>
      <c r="E75" s="1" t="s">
        <v>219</v>
      </c>
      <c r="F75" s="1" t="s">
        <v>233</v>
      </c>
      <c r="G75" s="1">
        <v>2</v>
      </c>
      <c r="H75" s="1">
        <v>49769</v>
      </c>
      <c r="I75" s="1">
        <v>99538</v>
      </c>
      <c r="J75" s="1">
        <f>AVERAGE(Table1[[#This Row],[Revenue]],Table1[[#This Row],[Quantity Sold]])</f>
        <v>49770</v>
      </c>
      <c r="K75" s="1" t="s">
        <v>243</v>
      </c>
      <c r="L75" s="5" t="s">
        <v>245</v>
      </c>
    </row>
    <row r="76" spans="1:12" x14ac:dyDescent="0.25">
      <c r="A76" s="4" t="s">
        <v>84</v>
      </c>
      <c r="B76" s="12">
        <v>45428</v>
      </c>
      <c r="C76" s="1">
        <f>MONTH(Table1[[#This Row],[Date]])</f>
        <v>5</v>
      </c>
      <c r="D76" s="1" t="s">
        <v>213</v>
      </c>
      <c r="E76" s="1" t="s">
        <v>215</v>
      </c>
      <c r="F76" s="1" t="s">
        <v>221</v>
      </c>
      <c r="G76" s="1">
        <v>1</v>
      </c>
      <c r="H76" s="1">
        <v>84377</v>
      </c>
      <c r="I76" s="1">
        <v>84377</v>
      </c>
      <c r="J76" s="1">
        <f>AVERAGE(Table1[[#This Row],[Revenue]],Table1[[#This Row],[Quantity Sold]])</f>
        <v>42189</v>
      </c>
      <c r="K76" s="1" t="s">
        <v>241</v>
      </c>
      <c r="L76" s="5" t="s">
        <v>246</v>
      </c>
    </row>
    <row r="77" spans="1:12" x14ac:dyDescent="0.25">
      <c r="A77" s="4" t="s">
        <v>85</v>
      </c>
      <c r="B77" s="12">
        <v>45429</v>
      </c>
      <c r="C77" s="1">
        <f>MONTH(Table1[[#This Row],[Date]])</f>
        <v>5</v>
      </c>
      <c r="D77" s="1" t="s">
        <v>214</v>
      </c>
      <c r="E77" s="1" t="s">
        <v>220</v>
      </c>
      <c r="F77" s="1" t="s">
        <v>232</v>
      </c>
      <c r="G77" s="1">
        <v>2</v>
      </c>
      <c r="H77" s="1">
        <v>85069</v>
      </c>
      <c r="I77" s="1">
        <v>170138</v>
      </c>
      <c r="J77" s="1">
        <f>AVERAGE(Table1[[#This Row],[Revenue]],Table1[[#This Row],[Quantity Sold]])</f>
        <v>85070</v>
      </c>
      <c r="K77" s="1" t="s">
        <v>243</v>
      </c>
      <c r="L77" s="5" t="s">
        <v>245</v>
      </c>
    </row>
    <row r="78" spans="1:12" x14ac:dyDescent="0.25">
      <c r="A78" s="4" t="s">
        <v>86</v>
      </c>
      <c r="B78" s="12">
        <v>45430</v>
      </c>
      <c r="C78" s="1">
        <f>MONTH(Table1[[#This Row],[Date]])</f>
        <v>5</v>
      </c>
      <c r="D78" s="1" t="s">
        <v>213</v>
      </c>
      <c r="E78" s="1" t="s">
        <v>219</v>
      </c>
      <c r="F78" s="1" t="s">
        <v>231</v>
      </c>
      <c r="G78" s="1">
        <v>4</v>
      </c>
      <c r="H78" s="1">
        <v>30772</v>
      </c>
      <c r="I78" s="1">
        <v>123088</v>
      </c>
      <c r="J78" s="1">
        <f>AVERAGE(Table1[[#This Row],[Revenue]],Table1[[#This Row],[Quantity Sold]])</f>
        <v>61546</v>
      </c>
      <c r="K78" s="1" t="s">
        <v>242</v>
      </c>
      <c r="L78" s="5" t="s">
        <v>246</v>
      </c>
    </row>
    <row r="79" spans="1:12" x14ac:dyDescent="0.25">
      <c r="A79" s="4" t="s">
        <v>87</v>
      </c>
      <c r="B79" s="12">
        <v>45431</v>
      </c>
      <c r="C79" s="1">
        <f>MONTH(Table1[[#This Row],[Date]])</f>
        <v>5</v>
      </c>
      <c r="D79" s="1" t="s">
        <v>210</v>
      </c>
      <c r="E79" s="1" t="s">
        <v>219</v>
      </c>
      <c r="F79" s="1" t="s">
        <v>227</v>
      </c>
      <c r="G79" s="1">
        <v>5</v>
      </c>
      <c r="H79" s="1">
        <v>58906</v>
      </c>
      <c r="I79" s="1">
        <v>294530</v>
      </c>
      <c r="J79" s="1">
        <f>AVERAGE(Table1[[#This Row],[Revenue]],Table1[[#This Row],[Quantity Sold]])</f>
        <v>147267.5</v>
      </c>
      <c r="K79" s="1" t="s">
        <v>244</v>
      </c>
      <c r="L79" s="5" t="s">
        <v>246</v>
      </c>
    </row>
    <row r="80" spans="1:12" x14ac:dyDescent="0.25">
      <c r="A80" s="4" t="s">
        <v>88</v>
      </c>
      <c r="B80" s="12">
        <v>45432</v>
      </c>
      <c r="C80" s="1">
        <f>MONTH(Table1[[#This Row],[Date]])</f>
        <v>5</v>
      </c>
      <c r="D80" s="1" t="s">
        <v>211</v>
      </c>
      <c r="E80" s="1" t="s">
        <v>220</v>
      </c>
      <c r="F80" s="1" t="s">
        <v>232</v>
      </c>
      <c r="G80" s="1">
        <v>4</v>
      </c>
      <c r="H80" s="1">
        <v>74057</v>
      </c>
      <c r="I80" s="1">
        <v>296228</v>
      </c>
      <c r="J80" s="1">
        <f>AVERAGE(Table1[[#This Row],[Revenue]],Table1[[#This Row],[Quantity Sold]])</f>
        <v>148116</v>
      </c>
      <c r="K80" s="1" t="s">
        <v>243</v>
      </c>
      <c r="L80" s="5" t="s">
        <v>245</v>
      </c>
    </row>
    <row r="81" spans="1:12" x14ac:dyDescent="0.25">
      <c r="A81" s="4" t="s">
        <v>89</v>
      </c>
      <c r="B81" s="12">
        <v>45433</v>
      </c>
      <c r="C81" s="1">
        <f>MONTH(Table1[[#This Row],[Date]])</f>
        <v>5</v>
      </c>
      <c r="D81" s="1" t="s">
        <v>214</v>
      </c>
      <c r="E81" s="1" t="s">
        <v>220</v>
      </c>
      <c r="F81" s="1" t="s">
        <v>232</v>
      </c>
      <c r="G81" s="1">
        <v>5</v>
      </c>
      <c r="H81" s="1">
        <v>33534</v>
      </c>
      <c r="I81" s="1">
        <v>167670</v>
      </c>
      <c r="J81" s="1">
        <f>AVERAGE(Table1[[#This Row],[Revenue]],Table1[[#This Row],[Quantity Sold]])</f>
        <v>83837.5</v>
      </c>
      <c r="K81" s="1" t="s">
        <v>241</v>
      </c>
      <c r="L81" s="5" t="s">
        <v>245</v>
      </c>
    </row>
    <row r="82" spans="1:12" x14ac:dyDescent="0.25">
      <c r="A82" s="4" t="s">
        <v>90</v>
      </c>
      <c r="B82" s="12">
        <v>45434</v>
      </c>
      <c r="C82" s="1">
        <f>MONTH(Table1[[#This Row],[Date]])</f>
        <v>5</v>
      </c>
      <c r="D82" s="1" t="s">
        <v>210</v>
      </c>
      <c r="E82" s="1" t="s">
        <v>216</v>
      </c>
      <c r="F82" s="1" t="s">
        <v>224</v>
      </c>
      <c r="G82" s="1">
        <v>4</v>
      </c>
      <c r="H82" s="1">
        <v>47786</v>
      </c>
      <c r="I82" s="1">
        <v>191144</v>
      </c>
      <c r="J82" s="1">
        <f>AVERAGE(Table1[[#This Row],[Revenue]],Table1[[#This Row],[Quantity Sold]])</f>
        <v>95574</v>
      </c>
      <c r="K82" s="1" t="s">
        <v>240</v>
      </c>
      <c r="L82" s="5" t="s">
        <v>246</v>
      </c>
    </row>
    <row r="83" spans="1:12" x14ac:dyDescent="0.25">
      <c r="A83" s="4" t="s">
        <v>91</v>
      </c>
      <c r="B83" s="12">
        <v>45435</v>
      </c>
      <c r="C83" s="1">
        <f>MONTH(Table1[[#This Row],[Date]])</f>
        <v>5</v>
      </c>
      <c r="D83" s="1" t="s">
        <v>213</v>
      </c>
      <c r="E83" s="1" t="s">
        <v>220</v>
      </c>
      <c r="F83" s="1" t="s">
        <v>238</v>
      </c>
      <c r="G83" s="1">
        <v>2</v>
      </c>
      <c r="H83" s="1">
        <v>89598</v>
      </c>
      <c r="I83" s="1">
        <v>179196</v>
      </c>
      <c r="J83" s="1">
        <f>AVERAGE(Table1[[#This Row],[Revenue]],Table1[[#This Row],[Quantity Sold]])</f>
        <v>89599</v>
      </c>
      <c r="K83" s="1" t="s">
        <v>242</v>
      </c>
      <c r="L83" s="5" t="s">
        <v>246</v>
      </c>
    </row>
    <row r="84" spans="1:12" x14ac:dyDescent="0.25">
      <c r="A84" s="4" t="s">
        <v>92</v>
      </c>
      <c r="B84" s="12">
        <v>45436</v>
      </c>
      <c r="C84" s="1">
        <f>MONTH(Table1[[#This Row],[Date]])</f>
        <v>5</v>
      </c>
      <c r="D84" s="1" t="s">
        <v>214</v>
      </c>
      <c r="E84" s="1" t="s">
        <v>220</v>
      </c>
      <c r="F84" s="1" t="s">
        <v>238</v>
      </c>
      <c r="G84" s="1">
        <v>1</v>
      </c>
      <c r="H84" s="1">
        <v>91644</v>
      </c>
      <c r="I84" s="1">
        <v>91644</v>
      </c>
      <c r="J84" s="1">
        <f>AVERAGE(Table1[[#This Row],[Revenue]],Table1[[#This Row],[Quantity Sold]])</f>
        <v>45822.5</v>
      </c>
      <c r="K84" s="1" t="s">
        <v>240</v>
      </c>
      <c r="L84" s="5" t="s">
        <v>246</v>
      </c>
    </row>
    <row r="85" spans="1:12" x14ac:dyDescent="0.25">
      <c r="A85" s="4" t="s">
        <v>93</v>
      </c>
      <c r="B85" s="12">
        <v>45437</v>
      </c>
      <c r="C85" s="1">
        <f>MONTH(Table1[[#This Row],[Date]])</f>
        <v>5</v>
      </c>
      <c r="D85" s="1" t="s">
        <v>210</v>
      </c>
      <c r="E85" s="1" t="s">
        <v>218</v>
      </c>
      <c r="F85" s="1" t="s">
        <v>229</v>
      </c>
      <c r="G85" s="1">
        <v>1</v>
      </c>
      <c r="H85" s="1">
        <v>35276</v>
      </c>
      <c r="I85" s="1">
        <v>35276</v>
      </c>
      <c r="J85" s="1">
        <f>AVERAGE(Table1[[#This Row],[Revenue]],Table1[[#This Row],[Quantity Sold]])</f>
        <v>17638.5</v>
      </c>
      <c r="K85" s="1" t="s">
        <v>239</v>
      </c>
      <c r="L85" s="5" t="s">
        <v>245</v>
      </c>
    </row>
    <row r="86" spans="1:12" x14ac:dyDescent="0.25">
      <c r="A86" s="4" t="s">
        <v>94</v>
      </c>
      <c r="B86" s="12">
        <v>45438</v>
      </c>
      <c r="C86" s="1">
        <f>MONTH(Table1[[#This Row],[Date]])</f>
        <v>5</v>
      </c>
      <c r="D86" s="1" t="s">
        <v>212</v>
      </c>
      <c r="E86" s="1" t="s">
        <v>219</v>
      </c>
      <c r="F86" s="1" t="s">
        <v>233</v>
      </c>
      <c r="G86" s="1">
        <v>2</v>
      </c>
      <c r="H86" s="1">
        <v>46544</v>
      </c>
      <c r="I86" s="1">
        <v>93088</v>
      </c>
      <c r="J86" s="1">
        <f>AVERAGE(Table1[[#This Row],[Revenue]],Table1[[#This Row],[Quantity Sold]])</f>
        <v>46545</v>
      </c>
      <c r="K86" s="1" t="s">
        <v>241</v>
      </c>
      <c r="L86" s="5" t="s">
        <v>245</v>
      </c>
    </row>
    <row r="87" spans="1:12" x14ac:dyDescent="0.25">
      <c r="A87" s="4" t="s">
        <v>95</v>
      </c>
      <c r="B87" s="12">
        <v>45439</v>
      </c>
      <c r="C87" s="1">
        <f>MONTH(Table1[[#This Row],[Date]])</f>
        <v>5</v>
      </c>
      <c r="D87" s="1" t="s">
        <v>214</v>
      </c>
      <c r="E87" s="1" t="s">
        <v>220</v>
      </c>
      <c r="F87" s="1" t="s">
        <v>234</v>
      </c>
      <c r="G87" s="1">
        <v>3</v>
      </c>
      <c r="H87" s="1">
        <v>78351</v>
      </c>
      <c r="I87" s="1">
        <v>235053</v>
      </c>
      <c r="J87" s="1">
        <f>AVERAGE(Table1[[#This Row],[Revenue]],Table1[[#This Row],[Quantity Sold]])</f>
        <v>117528</v>
      </c>
      <c r="K87" s="1" t="s">
        <v>241</v>
      </c>
      <c r="L87" s="5" t="s">
        <v>245</v>
      </c>
    </row>
    <row r="88" spans="1:12" x14ac:dyDescent="0.25">
      <c r="A88" s="4" t="s">
        <v>96</v>
      </c>
      <c r="B88" s="12">
        <v>45440</v>
      </c>
      <c r="C88" s="1">
        <f>MONTH(Table1[[#This Row],[Date]])</f>
        <v>5</v>
      </c>
      <c r="D88" s="1" t="s">
        <v>214</v>
      </c>
      <c r="E88" s="1" t="s">
        <v>218</v>
      </c>
      <c r="F88" s="1" t="s">
        <v>226</v>
      </c>
      <c r="G88" s="1">
        <v>1</v>
      </c>
      <c r="H88" s="1">
        <v>33365</v>
      </c>
      <c r="I88" s="1">
        <v>33365</v>
      </c>
      <c r="J88" s="1">
        <f>AVERAGE(Table1[[#This Row],[Revenue]],Table1[[#This Row],[Quantity Sold]])</f>
        <v>16683</v>
      </c>
      <c r="K88" s="1" t="s">
        <v>243</v>
      </c>
      <c r="L88" s="5" t="s">
        <v>246</v>
      </c>
    </row>
    <row r="89" spans="1:12" x14ac:dyDescent="0.25">
      <c r="A89" s="4" t="s">
        <v>97</v>
      </c>
      <c r="B89" s="12">
        <v>45441</v>
      </c>
      <c r="C89" s="1">
        <f>MONTH(Table1[[#This Row],[Date]])</f>
        <v>5</v>
      </c>
      <c r="D89" s="1" t="s">
        <v>210</v>
      </c>
      <c r="E89" s="1" t="s">
        <v>220</v>
      </c>
      <c r="F89" s="1" t="s">
        <v>234</v>
      </c>
      <c r="G89" s="1">
        <v>2</v>
      </c>
      <c r="H89" s="1">
        <v>39961</v>
      </c>
      <c r="I89" s="1">
        <v>79922</v>
      </c>
      <c r="J89" s="1">
        <f>AVERAGE(Table1[[#This Row],[Revenue]],Table1[[#This Row],[Quantity Sold]])</f>
        <v>39962</v>
      </c>
      <c r="K89" s="1" t="s">
        <v>240</v>
      </c>
      <c r="L89" s="5" t="s">
        <v>246</v>
      </c>
    </row>
    <row r="90" spans="1:12" x14ac:dyDescent="0.25">
      <c r="A90" s="4" t="s">
        <v>98</v>
      </c>
      <c r="B90" s="12">
        <v>45442</v>
      </c>
      <c r="C90" s="1">
        <f>MONTH(Table1[[#This Row],[Date]])</f>
        <v>5</v>
      </c>
      <c r="D90" s="1" t="s">
        <v>214</v>
      </c>
      <c r="E90" s="1" t="s">
        <v>215</v>
      </c>
      <c r="F90" s="1" t="s">
        <v>222</v>
      </c>
      <c r="G90" s="1">
        <v>1</v>
      </c>
      <c r="H90" s="1">
        <v>35383</v>
      </c>
      <c r="I90" s="1">
        <v>35383</v>
      </c>
      <c r="J90" s="1">
        <f>AVERAGE(Table1[[#This Row],[Revenue]],Table1[[#This Row],[Quantity Sold]])</f>
        <v>17692</v>
      </c>
      <c r="K90" s="1" t="s">
        <v>242</v>
      </c>
      <c r="L90" s="5" t="s">
        <v>246</v>
      </c>
    </row>
    <row r="91" spans="1:12" x14ac:dyDescent="0.25">
      <c r="A91" s="4" t="s">
        <v>99</v>
      </c>
      <c r="B91" s="12">
        <v>45443</v>
      </c>
      <c r="C91" s="1">
        <f>MONTH(Table1[[#This Row],[Date]])</f>
        <v>5</v>
      </c>
      <c r="D91" s="1" t="s">
        <v>211</v>
      </c>
      <c r="E91" s="1" t="s">
        <v>216</v>
      </c>
      <c r="F91" s="1" t="s">
        <v>224</v>
      </c>
      <c r="G91" s="1">
        <v>3</v>
      </c>
      <c r="H91" s="1">
        <v>31658</v>
      </c>
      <c r="I91" s="1">
        <v>94974</v>
      </c>
      <c r="J91" s="1">
        <f>AVERAGE(Table1[[#This Row],[Revenue]],Table1[[#This Row],[Quantity Sold]])</f>
        <v>47488.5</v>
      </c>
      <c r="K91" s="1" t="s">
        <v>240</v>
      </c>
      <c r="L91" s="5" t="s">
        <v>246</v>
      </c>
    </row>
    <row r="92" spans="1:12" x14ac:dyDescent="0.25">
      <c r="A92" s="4" t="s">
        <v>100</v>
      </c>
      <c r="B92" s="12">
        <v>45444</v>
      </c>
      <c r="C92" s="1">
        <f>MONTH(Table1[[#This Row],[Date]])</f>
        <v>6</v>
      </c>
      <c r="D92" s="1" t="s">
        <v>210</v>
      </c>
      <c r="E92" s="1" t="s">
        <v>217</v>
      </c>
      <c r="F92" s="1" t="s">
        <v>235</v>
      </c>
      <c r="G92" s="1">
        <v>4</v>
      </c>
      <c r="H92" s="1">
        <v>50052</v>
      </c>
      <c r="I92" s="1">
        <v>200208</v>
      </c>
      <c r="J92" s="1">
        <f>AVERAGE(Table1[[#This Row],[Revenue]],Table1[[#This Row],[Quantity Sold]])</f>
        <v>100106</v>
      </c>
      <c r="K92" s="1" t="s">
        <v>243</v>
      </c>
      <c r="L92" s="5" t="s">
        <v>246</v>
      </c>
    </row>
    <row r="93" spans="1:12" x14ac:dyDescent="0.25">
      <c r="A93" s="4" t="s">
        <v>101</v>
      </c>
      <c r="B93" s="12">
        <v>45445</v>
      </c>
      <c r="C93" s="1">
        <f>MONTH(Table1[[#This Row],[Date]])</f>
        <v>6</v>
      </c>
      <c r="D93" s="1" t="s">
        <v>214</v>
      </c>
      <c r="E93" s="1" t="s">
        <v>219</v>
      </c>
      <c r="F93" s="1" t="s">
        <v>227</v>
      </c>
      <c r="G93" s="1">
        <v>4</v>
      </c>
      <c r="H93" s="1">
        <v>90931</v>
      </c>
      <c r="I93" s="1">
        <v>363724</v>
      </c>
      <c r="J93" s="1">
        <f>AVERAGE(Table1[[#This Row],[Revenue]],Table1[[#This Row],[Quantity Sold]])</f>
        <v>181864</v>
      </c>
      <c r="K93" s="1" t="s">
        <v>244</v>
      </c>
      <c r="L93" s="5" t="s">
        <v>246</v>
      </c>
    </row>
    <row r="94" spans="1:12" x14ac:dyDescent="0.25">
      <c r="A94" s="4" t="s">
        <v>102</v>
      </c>
      <c r="B94" s="12">
        <v>45446</v>
      </c>
      <c r="C94" s="1">
        <f>MONTH(Table1[[#This Row],[Date]])</f>
        <v>6</v>
      </c>
      <c r="D94" s="1" t="s">
        <v>211</v>
      </c>
      <c r="E94" s="1" t="s">
        <v>218</v>
      </c>
      <c r="F94" s="1" t="s">
        <v>230</v>
      </c>
      <c r="G94" s="1">
        <v>3</v>
      </c>
      <c r="H94" s="1">
        <v>89087</v>
      </c>
      <c r="I94" s="1">
        <v>267261</v>
      </c>
      <c r="J94" s="1">
        <f>AVERAGE(Table1[[#This Row],[Revenue]],Table1[[#This Row],[Quantity Sold]])</f>
        <v>133632</v>
      </c>
      <c r="K94" s="1" t="s">
        <v>241</v>
      </c>
      <c r="L94" s="5" t="s">
        <v>246</v>
      </c>
    </row>
    <row r="95" spans="1:12" x14ac:dyDescent="0.25">
      <c r="A95" s="4" t="s">
        <v>103</v>
      </c>
      <c r="B95" s="12">
        <v>45447</v>
      </c>
      <c r="C95" s="1">
        <f>MONTH(Table1[[#This Row],[Date]])</f>
        <v>6</v>
      </c>
      <c r="D95" s="1" t="s">
        <v>211</v>
      </c>
      <c r="E95" s="1" t="s">
        <v>217</v>
      </c>
      <c r="F95" s="1" t="s">
        <v>225</v>
      </c>
      <c r="G95" s="1">
        <v>4</v>
      </c>
      <c r="H95" s="1">
        <v>72600</v>
      </c>
      <c r="I95" s="1">
        <v>290400</v>
      </c>
      <c r="J95" s="1">
        <f>AVERAGE(Table1[[#This Row],[Revenue]],Table1[[#This Row],[Quantity Sold]])</f>
        <v>145202</v>
      </c>
      <c r="K95" s="1" t="s">
        <v>239</v>
      </c>
      <c r="L95" s="5" t="s">
        <v>246</v>
      </c>
    </row>
    <row r="96" spans="1:12" x14ac:dyDescent="0.25">
      <c r="A96" s="4" t="s">
        <v>104</v>
      </c>
      <c r="B96" s="12">
        <v>45448</v>
      </c>
      <c r="C96" s="1">
        <f>MONTH(Table1[[#This Row],[Date]])</f>
        <v>6</v>
      </c>
      <c r="D96" s="1" t="s">
        <v>212</v>
      </c>
      <c r="E96" s="1" t="s">
        <v>217</v>
      </c>
      <c r="F96" s="1" t="s">
        <v>236</v>
      </c>
      <c r="G96" s="1">
        <v>3</v>
      </c>
      <c r="H96" s="1">
        <v>66211</v>
      </c>
      <c r="I96" s="1">
        <v>198633</v>
      </c>
      <c r="J96" s="1">
        <f>AVERAGE(Table1[[#This Row],[Revenue]],Table1[[#This Row],[Quantity Sold]])</f>
        <v>99318</v>
      </c>
      <c r="K96" s="1" t="s">
        <v>241</v>
      </c>
      <c r="L96" s="5" t="s">
        <v>245</v>
      </c>
    </row>
    <row r="97" spans="1:12" x14ac:dyDescent="0.25">
      <c r="A97" s="4" t="s">
        <v>105</v>
      </c>
      <c r="B97" s="12">
        <v>45449</v>
      </c>
      <c r="C97" s="1">
        <f>MONTH(Table1[[#This Row],[Date]])</f>
        <v>6</v>
      </c>
      <c r="D97" s="1" t="s">
        <v>210</v>
      </c>
      <c r="E97" s="1" t="s">
        <v>216</v>
      </c>
      <c r="F97" s="1" t="s">
        <v>223</v>
      </c>
      <c r="G97" s="1">
        <v>4</v>
      </c>
      <c r="H97" s="1">
        <v>94038</v>
      </c>
      <c r="I97" s="1">
        <v>376152</v>
      </c>
      <c r="J97" s="1">
        <f>AVERAGE(Table1[[#This Row],[Revenue]],Table1[[#This Row],[Quantity Sold]])</f>
        <v>188078</v>
      </c>
      <c r="K97" s="1" t="s">
        <v>243</v>
      </c>
      <c r="L97" s="5" t="s">
        <v>246</v>
      </c>
    </row>
    <row r="98" spans="1:12" x14ac:dyDescent="0.25">
      <c r="A98" s="4" t="s">
        <v>106</v>
      </c>
      <c r="B98" s="12">
        <v>45450</v>
      </c>
      <c r="C98" s="1">
        <f>MONTH(Table1[[#This Row],[Date]])</f>
        <v>6</v>
      </c>
      <c r="D98" s="1" t="s">
        <v>212</v>
      </c>
      <c r="E98" s="1" t="s">
        <v>215</v>
      </c>
      <c r="F98" s="1" t="s">
        <v>222</v>
      </c>
      <c r="G98" s="1">
        <v>4</v>
      </c>
      <c r="H98" s="1">
        <v>88743</v>
      </c>
      <c r="I98" s="1">
        <v>354972</v>
      </c>
      <c r="J98" s="1">
        <f>AVERAGE(Table1[[#This Row],[Revenue]],Table1[[#This Row],[Quantity Sold]])</f>
        <v>177488</v>
      </c>
      <c r="K98" s="1" t="s">
        <v>244</v>
      </c>
      <c r="L98" s="5" t="s">
        <v>245</v>
      </c>
    </row>
    <row r="99" spans="1:12" x14ac:dyDescent="0.25">
      <c r="A99" s="4" t="s">
        <v>107</v>
      </c>
      <c r="B99" s="12">
        <v>45451</v>
      </c>
      <c r="C99" s="1">
        <f>MONTH(Table1[[#This Row],[Date]])</f>
        <v>6</v>
      </c>
      <c r="D99" s="1" t="s">
        <v>214</v>
      </c>
      <c r="E99" s="1" t="s">
        <v>220</v>
      </c>
      <c r="F99" s="1" t="s">
        <v>234</v>
      </c>
      <c r="G99" s="1">
        <v>2</v>
      </c>
      <c r="H99" s="1">
        <v>70135</v>
      </c>
      <c r="I99" s="1">
        <v>140270</v>
      </c>
      <c r="J99" s="1">
        <f>AVERAGE(Table1[[#This Row],[Revenue]],Table1[[#This Row],[Quantity Sold]])</f>
        <v>70136</v>
      </c>
      <c r="K99" s="1" t="s">
        <v>244</v>
      </c>
      <c r="L99" s="5" t="s">
        <v>246</v>
      </c>
    </row>
    <row r="100" spans="1:12" x14ac:dyDescent="0.25">
      <c r="A100" s="4" t="s">
        <v>108</v>
      </c>
      <c r="B100" s="12">
        <v>45452</v>
      </c>
      <c r="C100" s="1">
        <f>MONTH(Table1[[#This Row],[Date]])</f>
        <v>6</v>
      </c>
      <c r="D100" s="1" t="s">
        <v>213</v>
      </c>
      <c r="E100" s="1" t="s">
        <v>219</v>
      </c>
      <c r="F100" s="1" t="s">
        <v>227</v>
      </c>
      <c r="G100" s="1">
        <v>3</v>
      </c>
      <c r="H100" s="1">
        <v>85771</v>
      </c>
      <c r="I100" s="1">
        <v>257313</v>
      </c>
      <c r="J100" s="1">
        <f>AVERAGE(Table1[[#This Row],[Revenue]],Table1[[#This Row],[Quantity Sold]])</f>
        <v>128658</v>
      </c>
      <c r="K100" s="1" t="s">
        <v>244</v>
      </c>
      <c r="L100" s="5" t="s">
        <v>246</v>
      </c>
    </row>
    <row r="101" spans="1:12" x14ac:dyDescent="0.25">
      <c r="A101" s="4" t="s">
        <v>109</v>
      </c>
      <c r="B101" s="12">
        <v>45453</v>
      </c>
      <c r="C101" s="1">
        <f>MONTH(Table1[[#This Row],[Date]])</f>
        <v>6</v>
      </c>
      <c r="D101" s="1" t="s">
        <v>210</v>
      </c>
      <c r="E101" s="1" t="s">
        <v>217</v>
      </c>
      <c r="F101" s="1" t="s">
        <v>236</v>
      </c>
      <c r="G101" s="1">
        <v>3</v>
      </c>
      <c r="H101" s="1">
        <v>60217</v>
      </c>
      <c r="I101" s="1">
        <v>180651</v>
      </c>
      <c r="J101" s="1">
        <f>AVERAGE(Table1[[#This Row],[Revenue]],Table1[[#This Row],[Quantity Sold]])</f>
        <v>90327</v>
      </c>
      <c r="K101" s="1" t="s">
        <v>244</v>
      </c>
      <c r="L101" s="5" t="s">
        <v>245</v>
      </c>
    </row>
    <row r="102" spans="1:12" x14ac:dyDescent="0.25">
      <c r="A102" s="4" t="s">
        <v>110</v>
      </c>
      <c r="B102" s="12">
        <v>45454</v>
      </c>
      <c r="C102" s="1">
        <f>MONTH(Table1[[#This Row],[Date]])</f>
        <v>6</v>
      </c>
      <c r="D102" s="1" t="s">
        <v>211</v>
      </c>
      <c r="E102" s="1" t="s">
        <v>215</v>
      </c>
      <c r="F102" s="1" t="s">
        <v>222</v>
      </c>
      <c r="G102" s="1">
        <v>2</v>
      </c>
      <c r="H102" s="1">
        <v>55105</v>
      </c>
      <c r="I102" s="1">
        <v>110210</v>
      </c>
      <c r="J102" s="1">
        <f>AVERAGE(Table1[[#This Row],[Revenue]],Table1[[#This Row],[Quantity Sold]])</f>
        <v>55106</v>
      </c>
      <c r="K102" s="1" t="s">
        <v>244</v>
      </c>
      <c r="L102" s="5" t="s">
        <v>246</v>
      </c>
    </row>
    <row r="103" spans="1:12" x14ac:dyDescent="0.25">
      <c r="A103" s="4" t="s">
        <v>111</v>
      </c>
      <c r="B103" s="12">
        <v>45455</v>
      </c>
      <c r="C103" s="1">
        <f>MONTH(Table1[[#This Row],[Date]])</f>
        <v>6</v>
      </c>
      <c r="D103" s="1" t="s">
        <v>210</v>
      </c>
      <c r="E103" s="1" t="s">
        <v>216</v>
      </c>
      <c r="F103" s="1" t="s">
        <v>223</v>
      </c>
      <c r="G103" s="1">
        <v>3</v>
      </c>
      <c r="H103" s="1">
        <v>59816</v>
      </c>
      <c r="I103" s="1">
        <v>179448</v>
      </c>
      <c r="J103" s="1">
        <f>AVERAGE(Table1[[#This Row],[Revenue]],Table1[[#This Row],[Quantity Sold]])</f>
        <v>89725.5</v>
      </c>
      <c r="K103" s="1" t="s">
        <v>244</v>
      </c>
      <c r="L103" s="5" t="s">
        <v>245</v>
      </c>
    </row>
    <row r="104" spans="1:12" x14ac:dyDescent="0.25">
      <c r="A104" s="4" t="s">
        <v>112</v>
      </c>
      <c r="B104" s="12">
        <v>45456</v>
      </c>
      <c r="C104" s="1">
        <f>MONTH(Table1[[#This Row],[Date]])</f>
        <v>6</v>
      </c>
      <c r="D104" s="1" t="s">
        <v>212</v>
      </c>
      <c r="E104" s="1" t="s">
        <v>215</v>
      </c>
      <c r="F104" s="1" t="s">
        <v>222</v>
      </c>
      <c r="G104" s="1">
        <v>2</v>
      </c>
      <c r="H104" s="1">
        <v>65954</v>
      </c>
      <c r="I104" s="1">
        <v>131908</v>
      </c>
      <c r="J104" s="1">
        <f>AVERAGE(Table1[[#This Row],[Revenue]],Table1[[#This Row],[Quantity Sold]])</f>
        <v>65955</v>
      </c>
      <c r="K104" s="1" t="s">
        <v>241</v>
      </c>
      <c r="L104" s="5" t="s">
        <v>246</v>
      </c>
    </row>
    <row r="105" spans="1:12" x14ac:dyDescent="0.25">
      <c r="A105" s="4" t="s">
        <v>113</v>
      </c>
      <c r="B105" s="12">
        <v>45457</v>
      </c>
      <c r="C105" s="1">
        <f>MONTH(Table1[[#This Row],[Date]])</f>
        <v>6</v>
      </c>
      <c r="D105" s="1" t="s">
        <v>214</v>
      </c>
      <c r="E105" s="1" t="s">
        <v>215</v>
      </c>
      <c r="F105" s="1" t="s">
        <v>221</v>
      </c>
      <c r="G105" s="1">
        <v>4</v>
      </c>
      <c r="H105" s="1">
        <v>43446</v>
      </c>
      <c r="I105" s="1">
        <v>173784</v>
      </c>
      <c r="J105" s="1">
        <f>AVERAGE(Table1[[#This Row],[Revenue]],Table1[[#This Row],[Quantity Sold]])</f>
        <v>86894</v>
      </c>
      <c r="K105" s="1" t="s">
        <v>244</v>
      </c>
      <c r="L105" s="5" t="s">
        <v>246</v>
      </c>
    </row>
    <row r="106" spans="1:12" x14ac:dyDescent="0.25">
      <c r="A106" s="4" t="s">
        <v>114</v>
      </c>
      <c r="B106" s="12">
        <v>45458</v>
      </c>
      <c r="C106" s="1">
        <f>MONTH(Table1[[#This Row],[Date]])</f>
        <v>6</v>
      </c>
      <c r="D106" s="1" t="s">
        <v>213</v>
      </c>
      <c r="E106" s="1" t="s">
        <v>220</v>
      </c>
      <c r="F106" s="1" t="s">
        <v>238</v>
      </c>
      <c r="G106" s="1">
        <v>3</v>
      </c>
      <c r="H106" s="1">
        <v>54164</v>
      </c>
      <c r="I106" s="1">
        <v>162492</v>
      </c>
      <c r="J106" s="1">
        <f>AVERAGE(Table1[[#This Row],[Revenue]],Table1[[#This Row],[Quantity Sold]])</f>
        <v>81247.5</v>
      </c>
      <c r="K106" s="1" t="s">
        <v>242</v>
      </c>
      <c r="L106" s="5" t="s">
        <v>245</v>
      </c>
    </row>
    <row r="107" spans="1:12" x14ac:dyDescent="0.25">
      <c r="A107" s="4" t="s">
        <v>115</v>
      </c>
      <c r="B107" s="12">
        <v>45459</v>
      </c>
      <c r="C107" s="1">
        <f>MONTH(Table1[[#This Row],[Date]])</f>
        <v>6</v>
      </c>
      <c r="D107" s="1" t="s">
        <v>212</v>
      </c>
      <c r="E107" s="1" t="s">
        <v>216</v>
      </c>
      <c r="F107" s="1" t="s">
        <v>228</v>
      </c>
      <c r="G107" s="1">
        <v>4</v>
      </c>
      <c r="H107" s="1">
        <v>39710</v>
      </c>
      <c r="I107" s="1">
        <v>158840</v>
      </c>
      <c r="J107" s="1">
        <f>AVERAGE(Table1[[#This Row],[Revenue]],Table1[[#This Row],[Quantity Sold]])</f>
        <v>79422</v>
      </c>
      <c r="K107" s="1" t="s">
        <v>239</v>
      </c>
      <c r="L107" s="5" t="s">
        <v>245</v>
      </c>
    </row>
    <row r="108" spans="1:12" x14ac:dyDescent="0.25">
      <c r="A108" s="4" t="s">
        <v>116</v>
      </c>
      <c r="B108" s="12">
        <v>45460</v>
      </c>
      <c r="C108" s="1">
        <f>MONTH(Table1[[#This Row],[Date]])</f>
        <v>6</v>
      </c>
      <c r="D108" s="1" t="s">
        <v>214</v>
      </c>
      <c r="E108" s="1" t="s">
        <v>219</v>
      </c>
      <c r="F108" s="1" t="s">
        <v>231</v>
      </c>
      <c r="G108" s="1">
        <v>1</v>
      </c>
      <c r="H108" s="1">
        <v>62530</v>
      </c>
      <c r="I108" s="1">
        <v>62530</v>
      </c>
      <c r="J108" s="1">
        <f>AVERAGE(Table1[[#This Row],[Revenue]],Table1[[#This Row],[Quantity Sold]])</f>
        <v>31265.5</v>
      </c>
      <c r="K108" s="1" t="s">
        <v>242</v>
      </c>
      <c r="L108" s="5" t="s">
        <v>245</v>
      </c>
    </row>
    <row r="109" spans="1:12" x14ac:dyDescent="0.25">
      <c r="A109" s="4" t="s">
        <v>117</v>
      </c>
      <c r="B109" s="12">
        <v>45461</v>
      </c>
      <c r="C109" s="1">
        <f>MONTH(Table1[[#This Row],[Date]])</f>
        <v>6</v>
      </c>
      <c r="D109" s="1" t="s">
        <v>214</v>
      </c>
      <c r="E109" s="1" t="s">
        <v>219</v>
      </c>
      <c r="F109" s="1" t="s">
        <v>231</v>
      </c>
      <c r="G109" s="1">
        <v>4</v>
      </c>
      <c r="H109" s="1">
        <v>88028</v>
      </c>
      <c r="I109" s="1">
        <v>352112</v>
      </c>
      <c r="J109" s="1">
        <f>AVERAGE(Table1[[#This Row],[Revenue]],Table1[[#This Row],[Quantity Sold]])</f>
        <v>176058</v>
      </c>
      <c r="K109" s="1" t="s">
        <v>242</v>
      </c>
      <c r="L109" s="5" t="s">
        <v>246</v>
      </c>
    </row>
    <row r="110" spans="1:12" x14ac:dyDescent="0.25">
      <c r="A110" s="4" t="s">
        <v>118</v>
      </c>
      <c r="B110" s="12">
        <v>45462</v>
      </c>
      <c r="C110" s="1">
        <f>MONTH(Table1[[#This Row],[Date]])</f>
        <v>6</v>
      </c>
      <c r="D110" s="1" t="s">
        <v>210</v>
      </c>
      <c r="E110" s="1" t="s">
        <v>219</v>
      </c>
      <c r="F110" s="1" t="s">
        <v>227</v>
      </c>
      <c r="G110" s="1">
        <v>1</v>
      </c>
      <c r="H110" s="1">
        <v>43006</v>
      </c>
      <c r="I110" s="1">
        <v>43006</v>
      </c>
      <c r="J110" s="1">
        <f>AVERAGE(Table1[[#This Row],[Revenue]],Table1[[#This Row],[Quantity Sold]])</f>
        <v>21503.5</v>
      </c>
      <c r="K110" s="1" t="s">
        <v>244</v>
      </c>
      <c r="L110" s="5" t="s">
        <v>245</v>
      </c>
    </row>
    <row r="111" spans="1:12" x14ac:dyDescent="0.25">
      <c r="A111" s="4" t="s">
        <v>119</v>
      </c>
      <c r="B111" s="12">
        <v>45463</v>
      </c>
      <c r="C111" s="1">
        <f>MONTH(Table1[[#This Row],[Date]])</f>
        <v>6</v>
      </c>
      <c r="D111" s="1" t="s">
        <v>212</v>
      </c>
      <c r="E111" s="1" t="s">
        <v>218</v>
      </c>
      <c r="F111" s="1" t="s">
        <v>230</v>
      </c>
      <c r="G111" s="1">
        <v>2</v>
      </c>
      <c r="H111" s="1">
        <v>39838</v>
      </c>
      <c r="I111" s="1">
        <v>79676</v>
      </c>
      <c r="J111" s="1">
        <f>AVERAGE(Table1[[#This Row],[Revenue]],Table1[[#This Row],[Quantity Sold]])</f>
        <v>39839</v>
      </c>
      <c r="K111" s="1" t="s">
        <v>242</v>
      </c>
      <c r="L111" s="5" t="s">
        <v>246</v>
      </c>
    </row>
    <row r="112" spans="1:12" x14ac:dyDescent="0.25">
      <c r="A112" s="4" t="s">
        <v>120</v>
      </c>
      <c r="B112" s="12">
        <v>45464</v>
      </c>
      <c r="C112" s="1">
        <f>MONTH(Table1[[#This Row],[Date]])</f>
        <v>6</v>
      </c>
      <c r="D112" s="1" t="s">
        <v>210</v>
      </c>
      <c r="E112" s="1" t="s">
        <v>215</v>
      </c>
      <c r="F112" s="1" t="s">
        <v>222</v>
      </c>
      <c r="G112" s="1">
        <v>4</v>
      </c>
      <c r="H112" s="1">
        <v>68175</v>
      </c>
      <c r="I112" s="1">
        <v>272700</v>
      </c>
      <c r="J112" s="1">
        <f>AVERAGE(Table1[[#This Row],[Revenue]],Table1[[#This Row],[Quantity Sold]])</f>
        <v>136352</v>
      </c>
      <c r="K112" s="1" t="s">
        <v>244</v>
      </c>
      <c r="L112" s="5" t="s">
        <v>246</v>
      </c>
    </row>
    <row r="113" spans="1:12" x14ac:dyDescent="0.25">
      <c r="A113" s="4" t="s">
        <v>121</v>
      </c>
      <c r="B113" s="12">
        <v>45465</v>
      </c>
      <c r="C113" s="1">
        <f>MONTH(Table1[[#This Row],[Date]])</f>
        <v>6</v>
      </c>
      <c r="D113" s="1" t="s">
        <v>214</v>
      </c>
      <c r="E113" s="1" t="s">
        <v>215</v>
      </c>
      <c r="F113" s="1" t="s">
        <v>237</v>
      </c>
      <c r="G113" s="1">
        <v>1</v>
      </c>
      <c r="H113" s="1">
        <v>60595</v>
      </c>
      <c r="I113" s="1">
        <v>60595</v>
      </c>
      <c r="J113" s="1">
        <f>AVERAGE(Table1[[#This Row],[Revenue]],Table1[[#This Row],[Quantity Sold]])</f>
        <v>30298</v>
      </c>
      <c r="K113" s="1" t="s">
        <v>243</v>
      </c>
      <c r="L113" s="5" t="s">
        <v>245</v>
      </c>
    </row>
    <row r="114" spans="1:12" x14ac:dyDescent="0.25">
      <c r="A114" s="4" t="s">
        <v>122</v>
      </c>
      <c r="B114" s="12">
        <v>45466</v>
      </c>
      <c r="C114" s="1">
        <f>MONTH(Table1[[#This Row],[Date]])</f>
        <v>6</v>
      </c>
      <c r="D114" s="1" t="s">
        <v>210</v>
      </c>
      <c r="E114" s="1" t="s">
        <v>220</v>
      </c>
      <c r="F114" s="1" t="s">
        <v>232</v>
      </c>
      <c r="G114" s="1">
        <v>5</v>
      </c>
      <c r="H114" s="1">
        <v>59466</v>
      </c>
      <c r="I114" s="1">
        <v>297330</v>
      </c>
      <c r="J114" s="1">
        <f>AVERAGE(Table1[[#This Row],[Revenue]],Table1[[#This Row],[Quantity Sold]])</f>
        <v>148667.5</v>
      </c>
      <c r="K114" s="1" t="s">
        <v>244</v>
      </c>
      <c r="L114" s="5" t="s">
        <v>245</v>
      </c>
    </row>
    <row r="115" spans="1:12" x14ac:dyDescent="0.25">
      <c r="A115" s="4" t="s">
        <v>123</v>
      </c>
      <c r="B115" s="12">
        <v>45467</v>
      </c>
      <c r="C115" s="1">
        <f>MONTH(Table1[[#This Row],[Date]])</f>
        <v>6</v>
      </c>
      <c r="D115" s="1" t="s">
        <v>214</v>
      </c>
      <c r="E115" s="1" t="s">
        <v>216</v>
      </c>
      <c r="F115" s="1" t="s">
        <v>223</v>
      </c>
      <c r="G115" s="1">
        <v>2</v>
      </c>
      <c r="H115" s="1">
        <v>70319</v>
      </c>
      <c r="I115" s="1">
        <v>140638</v>
      </c>
      <c r="J115" s="1">
        <f>AVERAGE(Table1[[#This Row],[Revenue]],Table1[[#This Row],[Quantity Sold]])</f>
        <v>70320</v>
      </c>
      <c r="K115" s="1" t="s">
        <v>244</v>
      </c>
      <c r="L115" s="5" t="s">
        <v>246</v>
      </c>
    </row>
    <row r="116" spans="1:12" x14ac:dyDescent="0.25">
      <c r="A116" s="4" t="s">
        <v>124</v>
      </c>
      <c r="B116" s="12">
        <v>45468</v>
      </c>
      <c r="C116" s="1">
        <f>MONTH(Table1[[#This Row],[Date]])</f>
        <v>6</v>
      </c>
      <c r="D116" s="1" t="s">
        <v>214</v>
      </c>
      <c r="E116" s="1" t="s">
        <v>216</v>
      </c>
      <c r="F116" s="1" t="s">
        <v>228</v>
      </c>
      <c r="G116" s="1">
        <v>3</v>
      </c>
      <c r="H116" s="1">
        <v>82757</v>
      </c>
      <c r="I116" s="1">
        <v>248271</v>
      </c>
      <c r="J116" s="1">
        <f>AVERAGE(Table1[[#This Row],[Revenue]],Table1[[#This Row],[Quantity Sold]])</f>
        <v>124137</v>
      </c>
      <c r="K116" s="1" t="s">
        <v>241</v>
      </c>
      <c r="L116" s="5" t="s">
        <v>246</v>
      </c>
    </row>
    <row r="117" spans="1:12" x14ac:dyDescent="0.25">
      <c r="A117" s="4" t="s">
        <v>125</v>
      </c>
      <c r="B117" s="12">
        <v>45469</v>
      </c>
      <c r="C117" s="1">
        <f>MONTH(Table1[[#This Row],[Date]])</f>
        <v>6</v>
      </c>
      <c r="D117" s="1" t="s">
        <v>213</v>
      </c>
      <c r="E117" s="1" t="s">
        <v>220</v>
      </c>
      <c r="F117" s="1" t="s">
        <v>232</v>
      </c>
      <c r="G117" s="1">
        <v>5</v>
      </c>
      <c r="H117" s="1">
        <v>35224</v>
      </c>
      <c r="I117" s="1">
        <v>176120</v>
      </c>
      <c r="J117" s="1">
        <f>AVERAGE(Table1[[#This Row],[Revenue]],Table1[[#This Row],[Quantity Sold]])</f>
        <v>88062.5</v>
      </c>
      <c r="K117" s="1" t="s">
        <v>241</v>
      </c>
      <c r="L117" s="5" t="s">
        <v>246</v>
      </c>
    </row>
    <row r="118" spans="1:12" x14ac:dyDescent="0.25">
      <c r="A118" s="4" t="s">
        <v>126</v>
      </c>
      <c r="B118" s="12">
        <v>45470</v>
      </c>
      <c r="C118" s="1">
        <f>MONTH(Table1[[#This Row],[Date]])</f>
        <v>6</v>
      </c>
      <c r="D118" s="1" t="s">
        <v>213</v>
      </c>
      <c r="E118" s="1" t="s">
        <v>216</v>
      </c>
      <c r="F118" s="1" t="s">
        <v>223</v>
      </c>
      <c r="G118" s="1">
        <v>2</v>
      </c>
      <c r="H118" s="1">
        <v>32719</v>
      </c>
      <c r="I118" s="1">
        <v>65438</v>
      </c>
      <c r="J118" s="1">
        <f>AVERAGE(Table1[[#This Row],[Revenue]],Table1[[#This Row],[Quantity Sold]])</f>
        <v>32720</v>
      </c>
      <c r="K118" s="1" t="s">
        <v>241</v>
      </c>
      <c r="L118" s="5" t="s">
        <v>245</v>
      </c>
    </row>
    <row r="119" spans="1:12" x14ac:dyDescent="0.25">
      <c r="A119" s="4" t="s">
        <v>127</v>
      </c>
      <c r="B119" s="12">
        <v>45471</v>
      </c>
      <c r="C119" s="1">
        <f>MONTH(Table1[[#This Row],[Date]])</f>
        <v>6</v>
      </c>
      <c r="D119" s="1" t="s">
        <v>210</v>
      </c>
      <c r="E119" s="1" t="s">
        <v>218</v>
      </c>
      <c r="F119" s="1" t="s">
        <v>226</v>
      </c>
      <c r="G119" s="1">
        <v>5</v>
      </c>
      <c r="H119" s="1">
        <v>87963</v>
      </c>
      <c r="I119" s="1">
        <v>439815</v>
      </c>
      <c r="J119" s="1">
        <f>AVERAGE(Table1[[#This Row],[Revenue]],Table1[[#This Row],[Quantity Sold]])</f>
        <v>219910</v>
      </c>
      <c r="K119" s="1" t="s">
        <v>241</v>
      </c>
      <c r="L119" s="5" t="s">
        <v>246</v>
      </c>
    </row>
    <row r="120" spans="1:12" x14ac:dyDescent="0.25">
      <c r="A120" s="4" t="s">
        <v>128</v>
      </c>
      <c r="B120" s="12">
        <v>45472</v>
      </c>
      <c r="C120" s="1">
        <f>MONTH(Table1[[#This Row],[Date]])</f>
        <v>6</v>
      </c>
      <c r="D120" s="1" t="s">
        <v>211</v>
      </c>
      <c r="E120" s="1" t="s">
        <v>215</v>
      </c>
      <c r="F120" s="1" t="s">
        <v>237</v>
      </c>
      <c r="G120" s="1">
        <v>1</v>
      </c>
      <c r="H120" s="1">
        <v>91605</v>
      </c>
      <c r="I120" s="1">
        <v>91605</v>
      </c>
      <c r="J120" s="1">
        <f>AVERAGE(Table1[[#This Row],[Revenue]],Table1[[#This Row],[Quantity Sold]])</f>
        <v>45803</v>
      </c>
      <c r="K120" s="1" t="s">
        <v>244</v>
      </c>
      <c r="L120" s="5" t="s">
        <v>246</v>
      </c>
    </row>
    <row r="121" spans="1:12" x14ac:dyDescent="0.25">
      <c r="A121" s="4" t="s">
        <v>129</v>
      </c>
      <c r="B121" s="12">
        <v>45473</v>
      </c>
      <c r="C121" s="1">
        <f>MONTH(Table1[[#This Row],[Date]])</f>
        <v>6</v>
      </c>
      <c r="D121" s="1" t="s">
        <v>211</v>
      </c>
      <c r="E121" s="1" t="s">
        <v>215</v>
      </c>
      <c r="F121" s="1" t="s">
        <v>221</v>
      </c>
      <c r="G121" s="1">
        <v>2</v>
      </c>
      <c r="H121" s="1">
        <v>73228</v>
      </c>
      <c r="I121" s="1">
        <v>146456</v>
      </c>
      <c r="J121" s="1">
        <f>AVERAGE(Table1[[#This Row],[Revenue]],Table1[[#This Row],[Quantity Sold]])</f>
        <v>73229</v>
      </c>
      <c r="K121" s="1" t="s">
        <v>244</v>
      </c>
      <c r="L121" s="5" t="s">
        <v>246</v>
      </c>
    </row>
    <row r="122" spans="1:12" x14ac:dyDescent="0.25">
      <c r="A122" s="4" t="s">
        <v>130</v>
      </c>
      <c r="B122" s="12">
        <v>45474</v>
      </c>
      <c r="C122" s="1">
        <f>MONTH(Table1[[#This Row],[Date]])</f>
        <v>7</v>
      </c>
      <c r="D122" s="1" t="s">
        <v>213</v>
      </c>
      <c r="E122" s="1" t="s">
        <v>219</v>
      </c>
      <c r="F122" s="1" t="s">
        <v>233</v>
      </c>
      <c r="G122" s="1">
        <v>4</v>
      </c>
      <c r="H122" s="1">
        <v>41542</v>
      </c>
      <c r="I122" s="1">
        <v>166168</v>
      </c>
      <c r="J122" s="1">
        <f>AVERAGE(Table1[[#This Row],[Revenue]],Table1[[#This Row],[Quantity Sold]])</f>
        <v>83086</v>
      </c>
      <c r="K122" s="1" t="s">
        <v>244</v>
      </c>
      <c r="L122" s="5" t="s">
        <v>245</v>
      </c>
    </row>
    <row r="123" spans="1:12" x14ac:dyDescent="0.25">
      <c r="A123" s="4" t="s">
        <v>131</v>
      </c>
      <c r="B123" s="12">
        <v>45475</v>
      </c>
      <c r="C123" s="1">
        <f>MONTH(Table1[[#This Row],[Date]])</f>
        <v>7</v>
      </c>
      <c r="D123" s="1" t="s">
        <v>212</v>
      </c>
      <c r="E123" s="1" t="s">
        <v>220</v>
      </c>
      <c r="F123" s="1" t="s">
        <v>234</v>
      </c>
      <c r="G123" s="1">
        <v>1</v>
      </c>
      <c r="H123" s="1">
        <v>90552</v>
      </c>
      <c r="I123" s="1">
        <v>90552</v>
      </c>
      <c r="J123" s="1">
        <f>AVERAGE(Table1[[#This Row],[Revenue]],Table1[[#This Row],[Quantity Sold]])</f>
        <v>45276.5</v>
      </c>
      <c r="K123" s="1" t="s">
        <v>239</v>
      </c>
      <c r="L123" s="5" t="s">
        <v>246</v>
      </c>
    </row>
    <row r="124" spans="1:12" x14ac:dyDescent="0.25">
      <c r="A124" s="4" t="s">
        <v>132</v>
      </c>
      <c r="B124" s="12">
        <v>45476</v>
      </c>
      <c r="C124" s="1">
        <f>MONTH(Table1[[#This Row],[Date]])</f>
        <v>7</v>
      </c>
      <c r="D124" s="1" t="s">
        <v>213</v>
      </c>
      <c r="E124" s="1" t="s">
        <v>219</v>
      </c>
      <c r="F124" s="1" t="s">
        <v>231</v>
      </c>
      <c r="G124" s="1">
        <v>4</v>
      </c>
      <c r="H124" s="1">
        <v>36764</v>
      </c>
      <c r="I124" s="1">
        <v>147056</v>
      </c>
      <c r="J124" s="1">
        <f>AVERAGE(Table1[[#This Row],[Revenue]],Table1[[#This Row],[Quantity Sold]])</f>
        <v>73530</v>
      </c>
      <c r="K124" s="1" t="s">
        <v>241</v>
      </c>
      <c r="L124" s="5" t="s">
        <v>245</v>
      </c>
    </row>
    <row r="125" spans="1:12" x14ac:dyDescent="0.25">
      <c r="A125" s="4" t="s">
        <v>133</v>
      </c>
      <c r="B125" s="12">
        <v>45477</v>
      </c>
      <c r="C125" s="1">
        <f>MONTH(Table1[[#This Row],[Date]])</f>
        <v>7</v>
      </c>
      <c r="D125" s="1" t="s">
        <v>214</v>
      </c>
      <c r="E125" s="1" t="s">
        <v>217</v>
      </c>
      <c r="F125" s="1" t="s">
        <v>236</v>
      </c>
      <c r="G125" s="1">
        <v>4</v>
      </c>
      <c r="H125" s="1">
        <v>45915</v>
      </c>
      <c r="I125" s="1">
        <v>183660</v>
      </c>
      <c r="J125" s="1">
        <f>AVERAGE(Table1[[#This Row],[Revenue]],Table1[[#This Row],[Quantity Sold]])</f>
        <v>91832</v>
      </c>
      <c r="K125" s="1" t="s">
        <v>239</v>
      </c>
      <c r="L125" s="5" t="s">
        <v>245</v>
      </c>
    </row>
    <row r="126" spans="1:12" x14ac:dyDescent="0.25">
      <c r="A126" s="4" t="s">
        <v>134</v>
      </c>
      <c r="B126" s="12">
        <v>45478</v>
      </c>
      <c r="C126" s="1">
        <f>MONTH(Table1[[#This Row],[Date]])</f>
        <v>7</v>
      </c>
      <c r="D126" s="1" t="s">
        <v>210</v>
      </c>
      <c r="E126" s="1" t="s">
        <v>217</v>
      </c>
      <c r="F126" s="1" t="s">
        <v>235</v>
      </c>
      <c r="G126" s="1">
        <v>1</v>
      </c>
      <c r="H126" s="1">
        <v>83476</v>
      </c>
      <c r="I126" s="1">
        <v>83476</v>
      </c>
      <c r="J126" s="1">
        <f>AVERAGE(Table1[[#This Row],[Revenue]],Table1[[#This Row],[Quantity Sold]])</f>
        <v>41738.5</v>
      </c>
      <c r="K126" s="1" t="s">
        <v>240</v>
      </c>
      <c r="L126" s="5" t="s">
        <v>246</v>
      </c>
    </row>
    <row r="127" spans="1:12" x14ac:dyDescent="0.25">
      <c r="A127" s="4" t="s">
        <v>135</v>
      </c>
      <c r="B127" s="12">
        <v>45479</v>
      </c>
      <c r="C127" s="1">
        <f>MONTH(Table1[[#This Row],[Date]])</f>
        <v>7</v>
      </c>
      <c r="D127" s="1" t="s">
        <v>214</v>
      </c>
      <c r="E127" s="1" t="s">
        <v>216</v>
      </c>
      <c r="F127" s="1" t="s">
        <v>224</v>
      </c>
      <c r="G127" s="1">
        <v>2</v>
      </c>
      <c r="H127" s="1">
        <v>95323</v>
      </c>
      <c r="I127" s="1">
        <v>190646</v>
      </c>
      <c r="J127" s="1">
        <f>AVERAGE(Table1[[#This Row],[Revenue]],Table1[[#This Row],[Quantity Sold]])</f>
        <v>95324</v>
      </c>
      <c r="K127" s="1" t="s">
        <v>243</v>
      </c>
      <c r="L127" s="5" t="s">
        <v>246</v>
      </c>
    </row>
    <row r="128" spans="1:12" x14ac:dyDescent="0.25">
      <c r="A128" s="4" t="s">
        <v>136</v>
      </c>
      <c r="B128" s="12">
        <v>45480</v>
      </c>
      <c r="C128" s="1">
        <f>MONTH(Table1[[#This Row],[Date]])</f>
        <v>7</v>
      </c>
      <c r="D128" s="1" t="s">
        <v>214</v>
      </c>
      <c r="E128" s="1" t="s">
        <v>220</v>
      </c>
      <c r="F128" s="1" t="s">
        <v>238</v>
      </c>
      <c r="G128" s="1">
        <v>4</v>
      </c>
      <c r="H128" s="1">
        <v>61946</v>
      </c>
      <c r="I128" s="1">
        <v>247784</v>
      </c>
      <c r="J128" s="1">
        <f>AVERAGE(Table1[[#This Row],[Revenue]],Table1[[#This Row],[Quantity Sold]])</f>
        <v>123894</v>
      </c>
      <c r="K128" s="1" t="s">
        <v>239</v>
      </c>
      <c r="L128" s="5" t="s">
        <v>246</v>
      </c>
    </row>
    <row r="129" spans="1:12" x14ac:dyDescent="0.25">
      <c r="A129" s="4" t="s">
        <v>137</v>
      </c>
      <c r="B129" s="12">
        <v>45481</v>
      </c>
      <c r="C129" s="1">
        <f>MONTH(Table1[[#This Row],[Date]])</f>
        <v>7</v>
      </c>
      <c r="D129" s="1" t="s">
        <v>213</v>
      </c>
      <c r="E129" s="1" t="s">
        <v>218</v>
      </c>
      <c r="F129" s="1" t="s">
        <v>229</v>
      </c>
      <c r="G129" s="1">
        <v>5</v>
      </c>
      <c r="H129" s="1">
        <v>47892</v>
      </c>
      <c r="I129" s="1">
        <v>239460</v>
      </c>
      <c r="J129" s="1">
        <f>AVERAGE(Table1[[#This Row],[Revenue]],Table1[[#This Row],[Quantity Sold]])</f>
        <v>119732.5</v>
      </c>
      <c r="K129" s="1" t="s">
        <v>242</v>
      </c>
      <c r="L129" s="5" t="s">
        <v>246</v>
      </c>
    </row>
    <row r="130" spans="1:12" x14ac:dyDescent="0.25">
      <c r="A130" s="4" t="s">
        <v>138</v>
      </c>
      <c r="B130" s="12">
        <v>45482</v>
      </c>
      <c r="C130" s="1">
        <f>MONTH(Table1[[#This Row],[Date]])</f>
        <v>7</v>
      </c>
      <c r="D130" s="1" t="s">
        <v>214</v>
      </c>
      <c r="E130" s="1" t="s">
        <v>219</v>
      </c>
      <c r="F130" s="1" t="s">
        <v>231</v>
      </c>
      <c r="G130" s="1">
        <v>1</v>
      </c>
      <c r="H130" s="1">
        <v>67072</v>
      </c>
      <c r="I130" s="1">
        <v>67072</v>
      </c>
      <c r="J130" s="1">
        <f>AVERAGE(Table1[[#This Row],[Revenue]],Table1[[#This Row],[Quantity Sold]])</f>
        <v>33536.5</v>
      </c>
      <c r="K130" s="1" t="s">
        <v>241</v>
      </c>
      <c r="L130" s="5" t="s">
        <v>246</v>
      </c>
    </row>
    <row r="131" spans="1:12" x14ac:dyDescent="0.25">
      <c r="A131" s="4" t="s">
        <v>139</v>
      </c>
      <c r="B131" s="12">
        <v>45483</v>
      </c>
      <c r="C131" s="1">
        <f>MONTH(Table1[[#This Row],[Date]])</f>
        <v>7</v>
      </c>
      <c r="D131" s="1" t="s">
        <v>213</v>
      </c>
      <c r="E131" s="1" t="s">
        <v>218</v>
      </c>
      <c r="F131" s="1" t="s">
        <v>226</v>
      </c>
      <c r="G131" s="1">
        <v>5</v>
      </c>
      <c r="H131" s="1">
        <v>93483</v>
      </c>
      <c r="I131" s="1">
        <v>467415</v>
      </c>
      <c r="J131" s="1">
        <f>AVERAGE(Table1[[#This Row],[Revenue]],Table1[[#This Row],[Quantity Sold]])</f>
        <v>233710</v>
      </c>
      <c r="K131" s="1" t="s">
        <v>241</v>
      </c>
      <c r="L131" s="5" t="s">
        <v>246</v>
      </c>
    </row>
    <row r="132" spans="1:12" x14ac:dyDescent="0.25">
      <c r="A132" s="4" t="s">
        <v>140</v>
      </c>
      <c r="B132" s="12">
        <v>45484</v>
      </c>
      <c r="C132" s="1">
        <f>MONTH(Table1[[#This Row],[Date]])</f>
        <v>7</v>
      </c>
      <c r="D132" s="1" t="s">
        <v>211</v>
      </c>
      <c r="E132" s="1" t="s">
        <v>220</v>
      </c>
      <c r="F132" s="1" t="s">
        <v>238</v>
      </c>
      <c r="G132" s="1">
        <v>2</v>
      </c>
      <c r="H132" s="1">
        <v>61300</v>
      </c>
      <c r="I132" s="1">
        <v>122600</v>
      </c>
      <c r="J132" s="1">
        <f>AVERAGE(Table1[[#This Row],[Revenue]],Table1[[#This Row],[Quantity Sold]])</f>
        <v>61301</v>
      </c>
      <c r="K132" s="1" t="s">
        <v>239</v>
      </c>
      <c r="L132" s="5" t="s">
        <v>246</v>
      </c>
    </row>
    <row r="133" spans="1:12" x14ac:dyDescent="0.25">
      <c r="A133" s="4" t="s">
        <v>141</v>
      </c>
      <c r="B133" s="12">
        <v>45485</v>
      </c>
      <c r="C133" s="1">
        <f>MONTH(Table1[[#This Row],[Date]])</f>
        <v>7</v>
      </c>
      <c r="D133" s="1" t="s">
        <v>210</v>
      </c>
      <c r="E133" s="1" t="s">
        <v>216</v>
      </c>
      <c r="F133" s="1" t="s">
        <v>228</v>
      </c>
      <c r="G133" s="1">
        <v>4</v>
      </c>
      <c r="H133" s="1">
        <v>79968</v>
      </c>
      <c r="I133" s="1">
        <v>319872</v>
      </c>
      <c r="J133" s="1">
        <f>AVERAGE(Table1[[#This Row],[Revenue]],Table1[[#This Row],[Quantity Sold]])</f>
        <v>159938</v>
      </c>
      <c r="K133" s="1" t="s">
        <v>242</v>
      </c>
      <c r="L133" s="5" t="s">
        <v>245</v>
      </c>
    </row>
    <row r="134" spans="1:12" x14ac:dyDescent="0.25">
      <c r="A134" s="4" t="s">
        <v>142</v>
      </c>
      <c r="B134" s="12">
        <v>45486</v>
      </c>
      <c r="C134" s="1">
        <f>MONTH(Table1[[#This Row],[Date]])</f>
        <v>7</v>
      </c>
      <c r="D134" s="1" t="s">
        <v>211</v>
      </c>
      <c r="E134" s="1" t="s">
        <v>218</v>
      </c>
      <c r="F134" s="1" t="s">
        <v>229</v>
      </c>
      <c r="G134" s="1">
        <v>5</v>
      </c>
      <c r="H134" s="1">
        <v>73515</v>
      </c>
      <c r="I134" s="1">
        <v>367575</v>
      </c>
      <c r="J134" s="1">
        <f>AVERAGE(Table1[[#This Row],[Revenue]],Table1[[#This Row],[Quantity Sold]])</f>
        <v>183790</v>
      </c>
      <c r="K134" s="1" t="s">
        <v>240</v>
      </c>
      <c r="L134" s="5" t="s">
        <v>246</v>
      </c>
    </row>
    <row r="135" spans="1:12" x14ac:dyDescent="0.25">
      <c r="A135" s="4" t="s">
        <v>143</v>
      </c>
      <c r="B135" s="12">
        <v>45487</v>
      </c>
      <c r="C135" s="1">
        <f>MONTH(Table1[[#This Row],[Date]])</f>
        <v>7</v>
      </c>
      <c r="D135" s="1" t="s">
        <v>210</v>
      </c>
      <c r="E135" s="1" t="s">
        <v>216</v>
      </c>
      <c r="F135" s="1" t="s">
        <v>224</v>
      </c>
      <c r="G135" s="1">
        <v>2</v>
      </c>
      <c r="H135" s="1">
        <v>83736</v>
      </c>
      <c r="I135" s="1">
        <v>167472</v>
      </c>
      <c r="J135" s="1">
        <f>AVERAGE(Table1[[#This Row],[Revenue]],Table1[[#This Row],[Quantity Sold]])</f>
        <v>83737</v>
      </c>
      <c r="K135" s="1" t="s">
        <v>240</v>
      </c>
      <c r="L135" s="5" t="s">
        <v>246</v>
      </c>
    </row>
    <row r="136" spans="1:12" x14ac:dyDescent="0.25">
      <c r="A136" s="4" t="s">
        <v>144</v>
      </c>
      <c r="B136" s="12">
        <v>45488</v>
      </c>
      <c r="C136" s="1">
        <f>MONTH(Table1[[#This Row],[Date]])</f>
        <v>7</v>
      </c>
      <c r="D136" s="1" t="s">
        <v>212</v>
      </c>
      <c r="E136" s="1" t="s">
        <v>217</v>
      </c>
      <c r="F136" s="1" t="s">
        <v>236</v>
      </c>
      <c r="G136" s="1">
        <v>5</v>
      </c>
      <c r="H136" s="1">
        <v>82098</v>
      </c>
      <c r="I136" s="1">
        <v>410490</v>
      </c>
      <c r="J136" s="1">
        <f>AVERAGE(Table1[[#This Row],[Revenue]],Table1[[#This Row],[Quantity Sold]])</f>
        <v>205247.5</v>
      </c>
      <c r="K136" s="1" t="s">
        <v>244</v>
      </c>
      <c r="L136" s="5" t="s">
        <v>246</v>
      </c>
    </row>
    <row r="137" spans="1:12" x14ac:dyDescent="0.25">
      <c r="A137" s="4" t="s">
        <v>145</v>
      </c>
      <c r="B137" s="12">
        <v>45489</v>
      </c>
      <c r="C137" s="1">
        <f>MONTH(Table1[[#This Row],[Date]])</f>
        <v>7</v>
      </c>
      <c r="D137" s="1" t="s">
        <v>212</v>
      </c>
      <c r="E137" s="1" t="s">
        <v>217</v>
      </c>
      <c r="F137" s="1" t="s">
        <v>235</v>
      </c>
      <c r="G137" s="1">
        <v>4</v>
      </c>
      <c r="H137" s="1">
        <v>34705</v>
      </c>
      <c r="I137" s="1">
        <v>138820</v>
      </c>
      <c r="J137" s="1">
        <f>AVERAGE(Table1[[#This Row],[Revenue]],Table1[[#This Row],[Quantity Sold]])</f>
        <v>69412</v>
      </c>
      <c r="K137" s="1" t="s">
        <v>239</v>
      </c>
      <c r="L137" s="5" t="s">
        <v>246</v>
      </c>
    </row>
    <row r="138" spans="1:12" x14ac:dyDescent="0.25">
      <c r="A138" s="4" t="s">
        <v>146</v>
      </c>
      <c r="B138" s="12">
        <v>45490</v>
      </c>
      <c r="C138" s="1">
        <f>MONTH(Table1[[#This Row],[Date]])</f>
        <v>7</v>
      </c>
      <c r="D138" s="1" t="s">
        <v>212</v>
      </c>
      <c r="E138" s="1" t="s">
        <v>218</v>
      </c>
      <c r="F138" s="1" t="s">
        <v>229</v>
      </c>
      <c r="G138" s="1">
        <v>1</v>
      </c>
      <c r="H138" s="1">
        <v>86881</v>
      </c>
      <c r="I138" s="1">
        <v>86881</v>
      </c>
      <c r="J138" s="1">
        <f>AVERAGE(Table1[[#This Row],[Revenue]],Table1[[#This Row],[Quantity Sold]])</f>
        <v>43441</v>
      </c>
      <c r="K138" s="1" t="s">
        <v>242</v>
      </c>
      <c r="L138" s="5" t="s">
        <v>245</v>
      </c>
    </row>
    <row r="139" spans="1:12" x14ac:dyDescent="0.25">
      <c r="A139" s="4" t="s">
        <v>147</v>
      </c>
      <c r="B139" s="12">
        <v>45491</v>
      </c>
      <c r="C139" s="1">
        <f>MONTH(Table1[[#This Row],[Date]])</f>
        <v>7</v>
      </c>
      <c r="D139" s="1" t="s">
        <v>212</v>
      </c>
      <c r="E139" s="1" t="s">
        <v>215</v>
      </c>
      <c r="F139" s="1" t="s">
        <v>237</v>
      </c>
      <c r="G139" s="1">
        <v>1</v>
      </c>
      <c r="H139" s="1">
        <v>36028</v>
      </c>
      <c r="I139" s="1">
        <v>36028</v>
      </c>
      <c r="J139" s="1">
        <f>AVERAGE(Table1[[#This Row],[Revenue]],Table1[[#This Row],[Quantity Sold]])</f>
        <v>18014.5</v>
      </c>
      <c r="K139" s="1" t="s">
        <v>244</v>
      </c>
      <c r="L139" s="5" t="s">
        <v>246</v>
      </c>
    </row>
    <row r="140" spans="1:12" x14ac:dyDescent="0.25">
      <c r="A140" s="4" t="s">
        <v>148</v>
      </c>
      <c r="B140" s="12">
        <v>45492</v>
      </c>
      <c r="C140" s="1">
        <f>MONTH(Table1[[#This Row],[Date]])</f>
        <v>7</v>
      </c>
      <c r="D140" s="1" t="s">
        <v>211</v>
      </c>
      <c r="E140" s="1" t="s">
        <v>217</v>
      </c>
      <c r="F140" s="1" t="s">
        <v>236</v>
      </c>
      <c r="G140" s="1">
        <v>2</v>
      </c>
      <c r="H140" s="1">
        <v>62007</v>
      </c>
      <c r="I140" s="1">
        <v>124014</v>
      </c>
      <c r="J140" s="1">
        <f>AVERAGE(Table1[[#This Row],[Revenue]],Table1[[#This Row],[Quantity Sold]])</f>
        <v>62008</v>
      </c>
      <c r="K140" s="1" t="s">
        <v>241</v>
      </c>
      <c r="L140" s="5" t="s">
        <v>245</v>
      </c>
    </row>
    <row r="141" spans="1:12" x14ac:dyDescent="0.25">
      <c r="A141" s="4" t="s">
        <v>149</v>
      </c>
      <c r="B141" s="12">
        <v>45493</v>
      </c>
      <c r="C141" s="1">
        <f>MONTH(Table1[[#This Row],[Date]])</f>
        <v>7</v>
      </c>
      <c r="D141" s="1" t="s">
        <v>210</v>
      </c>
      <c r="E141" s="1" t="s">
        <v>218</v>
      </c>
      <c r="F141" s="1" t="s">
        <v>230</v>
      </c>
      <c r="G141" s="1">
        <v>1</v>
      </c>
      <c r="H141" s="1">
        <v>80140</v>
      </c>
      <c r="I141" s="1">
        <v>80140</v>
      </c>
      <c r="J141" s="1">
        <f>AVERAGE(Table1[[#This Row],[Revenue]],Table1[[#This Row],[Quantity Sold]])</f>
        <v>40070.5</v>
      </c>
      <c r="K141" s="1" t="s">
        <v>242</v>
      </c>
      <c r="L141" s="5" t="s">
        <v>245</v>
      </c>
    </row>
    <row r="142" spans="1:12" x14ac:dyDescent="0.25">
      <c r="A142" s="4" t="s">
        <v>150</v>
      </c>
      <c r="B142" s="12">
        <v>45494</v>
      </c>
      <c r="C142" s="1">
        <f>MONTH(Table1[[#This Row],[Date]])</f>
        <v>7</v>
      </c>
      <c r="D142" s="1" t="s">
        <v>212</v>
      </c>
      <c r="E142" s="1" t="s">
        <v>218</v>
      </c>
      <c r="F142" s="1" t="s">
        <v>226</v>
      </c>
      <c r="G142" s="1">
        <v>3</v>
      </c>
      <c r="H142" s="1">
        <v>90236</v>
      </c>
      <c r="I142" s="1">
        <v>270708</v>
      </c>
      <c r="J142" s="1">
        <f>AVERAGE(Table1[[#This Row],[Revenue]],Table1[[#This Row],[Quantity Sold]])</f>
        <v>135355.5</v>
      </c>
      <c r="K142" s="1" t="s">
        <v>242</v>
      </c>
      <c r="L142" s="5" t="s">
        <v>246</v>
      </c>
    </row>
    <row r="143" spans="1:12" x14ac:dyDescent="0.25">
      <c r="A143" s="4" t="s">
        <v>151</v>
      </c>
      <c r="B143" s="12">
        <v>45495</v>
      </c>
      <c r="C143" s="1">
        <f>MONTH(Table1[[#This Row],[Date]])</f>
        <v>7</v>
      </c>
      <c r="D143" s="1" t="s">
        <v>213</v>
      </c>
      <c r="E143" s="1" t="s">
        <v>215</v>
      </c>
      <c r="F143" s="1" t="s">
        <v>222</v>
      </c>
      <c r="G143" s="1">
        <v>2</v>
      </c>
      <c r="H143" s="1">
        <v>39681</v>
      </c>
      <c r="I143" s="1">
        <v>79362</v>
      </c>
      <c r="J143" s="1">
        <f>AVERAGE(Table1[[#This Row],[Revenue]],Table1[[#This Row],[Quantity Sold]])</f>
        <v>39682</v>
      </c>
      <c r="K143" s="1" t="s">
        <v>241</v>
      </c>
      <c r="L143" s="5" t="s">
        <v>246</v>
      </c>
    </row>
    <row r="144" spans="1:12" x14ac:dyDescent="0.25">
      <c r="A144" s="4" t="s">
        <v>152</v>
      </c>
      <c r="B144" s="12">
        <v>45496</v>
      </c>
      <c r="C144" s="1">
        <f>MONTH(Table1[[#This Row],[Date]])</f>
        <v>7</v>
      </c>
      <c r="D144" s="1" t="s">
        <v>210</v>
      </c>
      <c r="E144" s="1" t="s">
        <v>215</v>
      </c>
      <c r="F144" s="1" t="s">
        <v>237</v>
      </c>
      <c r="G144" s="1">
        <v>3</v>
      </c>
      <c r="H144" s="1">
        <v>89878</v>
      </c>
      <c r="I144" s="1">
        <v>269634</v>
      </c>
      <c r="J144" s="1">
        <f>AVERAGE(Table1[[#This Row],[Revenue]],Table1[[#This Row],[Quantity Sold]])</f>
        <v>134818.5</v>
      </c>
      <c r="K144" s="1" t="s">
        <v>242</v>
      </c>
      <c r="L144" s="5" t="s">
        <v>246</v>
      </c>
    </row>
    <row r="145" spans="1:12" x14ac:dyDescent="0.25">
      <c r="A145" s="4" t="s">
        <v>153</v>
      </c>
      <c r="B145" s="12">
        <v>45497</v>
      </c>
      <c r="C145" s="1">
        <f>MONTH(Table1[[#This Row],[Date]])</f>
        <v>7</v>
      </c>
      <c r="D145" s="1" t="s">
        <v>213</v>
      </c>
      <c r="E145" s="1" t="s">
        <v>216</v>
      </c>
      <c r="F145" s="1" t="s">
        <v>223</v>
      </c>
      <c r="G145" s="1">
        <v>4</v>
      </c>
      <c r="H145" s="1">
        <v>77049</v>
      </c>
      <c r="I145" s="1">
        <v>308196</v>
      </c>
      <c r="J145" s="1">
        <f>AVERAGE(Table1[[#This Row],[Revenue]],Table1[[#This Row],[Quantity Sold]])</f>
        <v>154100</v>
      </c>
      <c r="K145" s="1" t="s">
        <v>243</v>
      </c>
      <c r="L145" s="5" t="s">
        <v>246</v>
      </c>
    </row>
    <row r="146" spans="1:12" x14ac:dyDescent="0.25">
      <c r="A146" s="4" t="s">
        <v>154</v>
      </c>
      <c r="B146" s="12">
        <v>45498</v>
      </c>
      <c r="C146" s="1">
        <f>MONTH(Table1[[#This Row],[Date]])</f>
        <v>7</v>
      </c>
      <c r="D146" s="1" t="s">
        <v>214</v>
      </c>
      <c r="E146" s="1" t="s">
        <v>216</v>
      </c>
      <c r="F146" s="1" t="s">
        <v>224</v>
      </c>
      <c r="G146" s="1">
        <v>4</v>
      </c>
      <c r="H146" s="1">
        <v>65976</v>
      </c>
      <c r="I146" s="1">
        <v>263904</v>
      </c>
      <c r="J146" s="1">
        <f>AVERAGE(Table1[[#This Row],[Revenue]],Table1[[#This Row],[Quantity Sold]])</f>
        <v>131954</v>
      </c>
      <c r="K146" s="1" t="s">
        <v>243</v>
      </c>
      <c r="L146" s="5" t="s">
        <v>245</v>
      </c>
    </row>
    <row r="147" spans="1:12" x14ac:dyDescent="0.25">
      <c r="A147" s="4" t="s">
        <v>155</v>
      </c>
      <c r="B147" s="12">
        <v>45499</v>
      </c>
      <c r="C147" s="1">
        <f>MONTH(Table1[[#This Row],[Date]])</f>
        <v>7</v>
      </c>
      <c r="D147" s="1" t="s">
        <v>214</v>
      </c>
      <c r="E147" s="1" t="s">
        <v>219</v>
      </c>
      <c r="F147" s="1" t="s">
        <v>227</v>
      </c>
      <c r="G147" s="1">
        <v>4</v>
      </c>
      <c r="H147" s="1">
        <v>67512</v>
      </c>
      <c r="I147" s="1">
        <v>270048</v>
      </c>
      <c r="J147" s="1">
        <f>AVERAGE(Table1[[#This Row],[Revenue]],Table1[[#This Row],[Quantity Sold]])</f>
        <v>135026</v>
      </c>
      <c r="K147" s="1" t="s">
        <v>244</v>
      </c>
      <c r="L147" s="5" t="s">
        <v>245</v>
      </c>
    </row>
    <row r="148" spans="1:12" x14ac:dyDescent="0.25">
      <c r="A148" s="4" t="s">
        <v>156</v>
      </c>
      <c r="B148" s="12">
        <v>45500</v>
      </c>
      <c r="C148" s="1">
        <f>MONTH(Table1[[#This Row],[Date]])</f>
        <v>7</v>
      </c>
      <c r="D148" s="1" t="s">
        <v>210</v>
      </c>
      <c r="E148" s="1" t="s">
        <v>215</v>
      </c>
      <c r="F148" s="1" t="s">
        <v>221</v>
      </c>
      <c r="G148" s="1">
        <v>5</v>
      </c>
      <c r="H148" s="1">
        <v>62850</v>
      </c>
      <c r="I148" s="1">
        <v>314250</v>
      </c>
      <c r="J148" s="1">
        <f>AVERAGE(Table1[[#This Row],[Revenue]],Table1[[#This Row],[Quantity Sold]])</f>
        <v>157127.5</v>
      </c>
      <c r="K148" s="1" t="s">
        <v>243</v>
      </c>
      <c r="L148" s="5" t="s">
        <v>245</v>
      </c>
    </row>
    <row r="149" spans="1:12" x14ac:dyDescent="0.25">
      <c r="A149" s="4" t="s">
        <v>157</v>
      </c>
      <c r="B149" s="12">
        <v>45501</v>
      </c>
      <c r="C149" s="1">
        <f>MONTH(Table1[[#This Row],[Date]])</f>
        <v>7</v>
      </c>
      <c r="D149" s="1" t="s">
        <v>212</v>
      </c>
      <c r="E149" s="1" t="s">
        <v>215</v>
      </c>
      <c r="F149" s="1" t="s">
        <v>222</v>
      </c>
      <c r="G149" s="1">
        <v>1</v>
      </c>
      <c r="H149" s="1">
        <v>70492</v>
      </c>
      <c r="I149" s="1">
        <v>70492</v>
      </c>
      <c r="J149" s="1">
        <f>AVERAGE(Table1[[#This Row],[Revenue]],Table1[[#This Row],[Quantity Sold]])</f>
        <v>35246.5</v>
      </c>
      <c r="K149" s="1" t="s">
        <v>241</v>
      </c>
      <c r="L149" s="5" t="s">
        <v>246</v>
      </c>
    </row>
    <row r="150" spans="1:12" x14ac:dyDescent="0.25">
      <c r="A150" s="4" t="s">
        <v>158</v>
      </c>
      <c r="B150" s="12">
        <v>45502</v>
      </c>
      <c r="C150" s="1">
        <f>MONTH(Table1[[#This Row],[Date]])</f>
        <v>7</v>
      </c>
      <c r="D150" s="1" t="s">
        <v>211</v>
      </c>
      <c r="E150" s="1" t="s">
        <v>215</v>
      </c>
      <c r="F150" s="1" t="s">
        <v>221</v>
      </c>
      <c r="G150" s="1">
        <v>1</v>
      </c>
      <c r="H150" s="1">
        <v>68680</v>
      </c>
      <c r="I150" s="1">
        <v>68680</v>
      </c>
      <c r="J150" s="1">
        <f>AVERAGE(Table1[[#This Row],[Revenue]],Table1[[#This Row],[Quantity Sold]])</f>
        <v>34340.5</v>
      </c>
      <c r="K150" s="1" t="s">
        <v>239</v>
      </c>
      <c r="L150" s="5" t="s">
        <v>245</v>
      </c>
    </row>
    <row r="151" spans="1:12" x14ac:dyDescent="0.25">
      <c r="A151" s="4" t="s">
        <v>159</v>
      </c>
      <c r="B151" s="12">
        <v>45503</v>
      </c>
      <c r="C151" s="1">
        <f>MONTH(Table1[[#This Row],[Date]])</f>
        <v>7</v>
      </c>
      <c r="D151" s="1" t="s">
        <v>213</v>
      </c>
      <c r="E151" s="1" t="s">
        <v>218</v>
      </c>
      <c r="F151" s="1" t="s">
        <v>229</v>
      </c>
      <c r="G151" s="1">
        <v>3</v>
      </c>
      <c r="H151" s="1">
        <v>99579</v>
      </c>
      <c r="I151" s="1">
        <v>298737</v>
      </c>
      <c r="J151" s="1">
        <f>AVERAGE(Table1[[#This Row],[Revenue]],Table1[[#This Row],[Quantity Sold]])</f>
        <v>149370</v>
      </c>
      <c r="K151" s="1" t="s">
        <v>239</v>
      </c>
      <c r="L151" s="5" t="s">
        <v>246</v>
      </c>
    </row>
    <row r="152" spans="1:12" x14ac:dyDescent="0.25">
      <c r="A152" s="4" t="s">
        <v>160</v>
      </c>
      <c r="B152" s="12">
        <v>45504</v>
      </c>
      <c r="C152" s="1">
        <f>MONTH(Table1[[#This Row],[Date]])</f>
        <v>7</v>
      </c>
      <c r="D152" s="1" t="s">
        <v>212</v>
      </c>
      <c r="E152" s="1" t="s">
        <v>220</v>
      </c>
      <c r="F152" s="1" t="s">
        <v>238</v>
      </c>
      <c r="G152" s="1">
        <v>3</v>
      </c>
      <c r="H152" s="1">
        <v>45095</v>
      </c>
      <c r="I152" s="1">
        <v>135285</v>
      </c>
      <c r="J152" s="1">
        <f>AVERAGE(Table1[[#This Row],[Revenue]],Table1[[#This Row],[Quantity Sold]])</f>
        <v>67644</v>
      </c>
      <c r="K152" s="1" t="s">
        <v>239</v>
      </c>
      <c r="L152" s="5" t="s">
        <v>245</v>
      </c>
    </row>
    <row r="153" spans="1:12" x14ac:dyDescent="0.25">
      <c r="A153" s="4" t="s">
        <v>161</v>
      </c>
      <c r="B153" s="12">
        <v>45505</v>
      </c>
      <c r="C153" s="1">
        <f>MONTH(Table1[[#This Row],[Date]])</f>
        <v>8</v>
      </c>
      <c r="D153" s="1" t="s">
        <v>211</v>
      </c>
      <c r="E153" s="1" t="s">
        <v>215</v>
      </c>
      <c r="F153" s="1" t="s">
        <v>222</v>
      </c>
      <c r="G153" s="1">
        <v>4</v>
      </c>
      <c r="H153" s="1">
        <v>77942</v>
      </c>
      <c r="I153" s="1">
        <v>311768</v>
      </c>
      <c r="J153" s="1">
        <f>AVERAGE(Table1[[#This Row],[Revenue]],Table1[[#This Row],[Quantity Sold]])</f>
        <v>155886</v>
      </c>
      <c r="K153" s="1" t="s">
        <v>240</v>
      </c>
      <c r="L153" s="5" t="s">
        <v>246</v>
      </c>
    </row>
    <row r="154" spans="1:12" x14ac:dyDescent="0.25">
      <c r="A154" s="4" t="s">
        <v>162</v>
      </c>
      <c r="B154" s="12">
        <v>45506</v>
      </c>
      <c r="C154" s="1">
        <f>MONTH(Table1[[#This Row],[Date]])</f>
        <v>8</v>
      </c>
      <c r="D154" s="1" t="s">
        <v>213</v>
      </c>
      <c r="E154" s="1" t="s">
        <v>219</v>
      </c>
      <c r="F154" s="1" t="s">
        <v>233</v>
      </c>
      <c r="G154" s="1">
        <v>4</v>
      </c>
      <c r="H154" s="1">
        <v>78311</v>
      </c>
      <c r="I154" s="1">
        <v>313244</v>
      </c>
      <c r="J154" s="1">
        <f>AVERAGE(Table1[[#This Row],[Revenue]],Table1[[#This Row],[Quantity Sold]])</f>
        <v>156624</v>
      </c>
      <c r="K154" s="1" t="s">
        <v>241</v>
      </c>
      <c r="L154" s="5" t="s">
        <v>246</v>
      </c>
    </row>
    <row r="155" spans="1:12" x14ac:dyDescent="0.25">
      <c r="A155" s="4" t="s">
        <v>163</v>
      </c>
      <c r="B155" s="12">
        <v>45507</v>
      </c>
      <c r="C155" s="1">
        <f>MONTH(Table1[[#This Row],[Date]])</f>
        <v>8</v>
      </c>
      <c r="D155" s="1" t="s">
        <v>212</v>
      </c>
      <c r="E155" s="1" t="s">
        <v>215</v>
      </c>
      <c r="F155" s="1" t="s">
        <v>237</v>
      </c>
      <c r="G155" s="1">
        <v>1</v>
      </c>
      <c r="H155" s="1">
        <v>60647</v>
      </c>
      <c r="I155" s="1">
        <v>60647</v>
      </c>
      <c r="J155" s="1">
        <f>AVERAGE(Table1[[#This Row],[Revenue]],Table1[[#This Row],[Quantity Sold]])</f>
        <v>30324</v>
      </c>
      <c r="K155" s="1" t="s">
        <v>241</v>
      </c>
      <c r="L155" s="5" t="s">
        <v>246</v>
      </c>
    </row>
    <row r="156" spans="1:12" x14ac:dyDescent="0.25">
      <c r="A156" s="4" t="s">
        <v>164</v>
      </c>
      <c r="B156" s="12">
        <v>45508</v>
      </c>
      <c r="C156" s="1">
        <f>MONTH(Table1[[#This Row],[Date]])</f>
        <v>8</v>
      </c>
      <c r="D156" s="1" t="s">
        <v>213</v>
      </c>
      <c r="E156" s="1" t="s">
        <v>219</v>
      </c>
      <c r="F156" s="1" t="s">
        <v>233</v>
      </c>
      <c r="G156" s="1">
        <v>1</v>
      </c>
      <c r="H156" s="1">
        <v>90852</v>
      </c>
      <c r="I156" s="1">
        <v>90852</v>
      </c>
      <c r="J156" s="1">
        <f>AVERAGE(Table1[[#This Row],[Revenue]],Table1[[#This Row],[Quantity Sold]])</f>
        <v>45426.5</v>
      </c>
      <c r="K156" s="1" t="s">
        <v>243</v>
      </c>
      <c r="L156" s="5" t="s">
        <v>246</v>
      </c>
    </row>
    <row r="157" spans="1:12" x14ac:dyDescent="0.25">
      <c r="A157" s="4" t="s">
        <v>165</v>
      </c>
      <c r="B157" s="12">
        <v>45509</v>
      </c>
      <c r="C157" s="1">
        <f>MONTH(Table1[[#This Row],[Date]])</f>
        <v>8</v>
      </c>
      <c r="D157" s="1" t="s">
        <v>211</v>
      </c>
      <c r="E157" s="1" t="s">
        <v>216</v>
      </c>
      <c r="F157" s="1" t="s">
        <v>223</v>
      </c>
      <c r="G157" s="1">
        <v>1</v>
      </c>
      <c r="H157" s="1">
        <v>34877</v>
      </c>
      <c r="I157" s="1">
        <v>34877</v>
      </c>
      <c r="J157" s="1">
        <f>AVERAGE(Table1[[#This Row],[Revenue]],Table1[[#This Row],[Quantity Sold]])</f>
        <v>17439</v>
      </c>
      <c r="K157" s="1" t="s">
        <v>240</v>
      </c>
      <c r="L157" s="5" t="s">
        <v>245</v>
      </c>
    </row>
    <row r="158" spans="1:12" x14ac:dyDescent="0.25">
      <c r="A158" s="4" t="s">
        <v>166</v>
      </c>
      <c r="B158" s="12">
        <v>45510</v>
      </c>
      <c r="C158" s="1">
        <f>MONTH(Table1[[#This Row],[Date]])</f>
        <v>8</v>
      </c>
      <c r="D158" s="1" t="s">
        <v>213</v>
      </c>
      <c r="E158" s="1" t="s">
        <v>218</v>
      </c>
      <c r="F158" s="1" t="s">
        <v>229</v>
      </c>
      <c r="G158" s="1">
        <v>2</v>
      </c>
      <c r="H158" s="1">
        <v>80940</v>
      </c>
      <c r="I158" s="1">
        <v>161880</v>
      </c>
      <c r="J158" s="1">
        <f>AVERAGE(Table1[[#This Row],[Revenue]],Table1[[#This Row],[Quantity Sold]])</f>
        <v>80941</v>
      </c>
      <c r="K158" s="1" t="s">
        <v>243</v>
      </c>
      <c r="L158" s="5" t="s">
        <v>246</v>
      </c>
    </row>
    <row r="159" spans="1:12" x14ac:dyDescent="0.25">
      <c r="A159" s="4" t="s">
        <v>167</v>
      </c>
      <c r="B159" s="12">
        <v>45511</v>
      </c>
      <c r="C159" s="1">
        <f>MONTH(Table1[[#This Row],[Date]])</f>
        <v>8</v>
      </c>
      <c r="D159" s="1" t="s">
        <v>212</v>
      </c>
      <c r="E159" s="1" t="s">
        <v>219</v>
      </c>
      <c r="F159" s="1" t="s">
        <v>227</v>
      </c>
      <c r="G159" s="1">
        <v>2</v>
      </c>
      <c r="H159" s="1">
        <v>84379</v>
      </c>
      <c r="I159" s="1">
        <v>168758</v>
      </c>
      <c r="J159" s="1">
        <f>AVERAGE(Table1[[#This Row],[Revenue]],Table1[[#This Row],[Quantity Sold]])</f>
        <v>84380</v>
      </c>
      <c r="K159" s="1" t="s">
        <v>242</v>
      </c>
      <c r="L159" s="5" t="s">
        <v>246</v>
      </c>
    </row>
    <row r="160" spans="1:12" x14ac:dyDescent="0.25">
      <c r="A160" s="4" t="s">
        <v>168</v>
      </c>
      <c r="B160" s="12">
        <v>45512</v>
      </c>
      <c r="C160" s="1">
        <f>MONTH(Table1[[#This Row],[Date]])</f>
        <v>8</v>
      </c>
      <c r="D160" s="1" t="s">
        <v>211</v>
      </c>
      <c r="E160" s="1" t="s">
        <v>217</v>
      </c>
      <c r="F160" s="1" t="s">
        <v>225</v>
      </c>
      <c r="G160" s="1">
        <v>3</v>
      </c>
      <c r="H160" s="1">
        <v>58477</v>
      </c>
      <c r="I160" s="1">
        <v>175431</v>
      </c>
      <c r="J160" s="1">
        <f>AVERAGE(Table1[[#This Row],[Revenue]],Table1[[#This Row],[Quantity Sold]])</f>
        <v>87717</v>
      </c>
      <c r="K160" s="1" t="s">
        <v>239</v>
      </c>
      <c r="L160" s="5" t="s">
        <v>246</v>
      </c>
    </row>
    <row r="161" spans="1:12" x14ac:dyDescent="0.25">
      <c r="A161" s="4" t="s">
        <v>169</v>
      </c>
      <c r="B161" s="12">
        <v>45513</v>
      </c>
      <c r="C161" s="1">
        <f>MONTH(Table1[[#This Row],[Date]])</f>
        <v>8</v>
      </c>
      <c r="D161" s="1" t="s">
        <v>211</v>
      </c>
      <c r="E161" s="1" t="s">
        <v>216</v>
      </c>
      <c r="F161" s="1" t="s">
        <v>224</v>
      </c>
      <c r="G161" s="1">
        <v>3</v>
      </c>
      <c r="H161" s="1">
        <v>77012</v>
      </c>
      <c r="I161" s="1">
        <v>231036</v>
      </c>
      <c r="J161" s="1">
        <f>AVERAGE(Table1[[#This Row],[Revenue]],Table1[[#This Row],[Quantity Sold]])</f>
        <v>115519.5</v>
      </c>
      <c r="K161" s="1" t="s">
        <v>244</v>
      </c>
      <c r="L161" s="5" t="s">
        <v>245</v>
      </c>
    </row>
    <row r="162" spans="1:12" x14ac:dyDescent="0.25">
      <c r="A162" s="4" t="s">
        <v>170</v>
      </c>
      <c r="B162" s="12">
        <v>45514</v>
      </c>
      <c r="C162" s="1">
        <f>MONTH(Table1[[#This Row],[Date]])</f>
        <v>8</v>
      </c>
      <c r="D162" s="1" t="s">
        <v>214</v>
      </c>
      <c r="E162" s="1" t="s">
        <v>216</v>
      </c>
      <c r="F162" s="1" t="s">
        <v>228</v>
      </c>
      <c r="G162" s="1">
        <v>1</v>
      </c>
      <c r="H162" s="1">
        <v>57801</v>
      </c>
      <c r="I162" s="1">
        <v>57801</v>
      </c>
      <c r="J162" s="1">
        <f>AVERAGE(Table1[[#This Row],[Revenue]],Table1[[#This Row],[Quantity Sold]])</f>
        <v>28901</v>
      </c>
      <c r="K162" s="1" t="s">
        <v>240</v>
      </c>
      <c r="L162" s="5" t="s">
        <v>245</v>
      </c>
    </row>
    <row r="163" spans="1:12" x14ac:dyDescent="0.25">
      <c r="A163" s="4" t="s">
        <v>171</v>
      </c>
      <c r="B163" s="12">
        <v>45515</v>
      </c>
      <c r="C163" s="1">
        <f>MONTH(Table1[[#This Row],[Date]])</f>
        <v>8</v>
      </c>
      <c r="D163" s="1" t="s">
        <v>214</v>
      </c>
      <c r="E163" s="1" t="s">
        <v>217</v>
      </c>
      <c r="F163" s="1" t="s">
        <v>225</v>
      </c>
      <c r="G163" s="1">
        <v>2</v>
      </c>
      <c r="H163" s="1">
        <v>56896</v>
      </c>
      <c r="I163" s="1">
        <v>113792</v>
      </c>
      <c r="J163" s="1">
        <f>AVERAGE(Table1[[#This Row],[Revenue]],Table1[[#This Row],[Quantity Sold]])</f>
        <v>56897</v>
      </c>
      <c r="K163" s="1" t="s">
        <v>239</v>
      </c>
      <c r="L163" s="5" t="s">
        <v>245</v>
      </c>
    </row>
    <row r="164" spans="1:12" x14ac:dyDescent="0.25">
      <c r="A164" s="4" t="s">
        <v>172</v>
      </c>
      <c r="B164" s="12">
        <v>45516</v>
      </c>
      <c r="C164" s="1">
        <f>MONTH(Table1[[#This Row],[Date]])</f>
        <v>8</v>
      </c>
      <c r="D164" s="1" t="s">
        <v>210</v>
      </c>
      <c r="E164" s="1" t="s">
        <v>218</v>
      </c>
      <c r="F164" s="1" t="s">
        <v>226</v>
      </c>
      <c r="G164" s="1">
        <v>2</v>
      </c>
      <c r="H164" s="1">
        <v>30371</v>
      </c>
      <c r="I164" s="1">
        <v>60742</v>
      </c>
      <c r="J164" s="1">
        <f>AVERAGE(Table1[[#This Row],[Revenue]],Table1[[#This Row],[Quantity Sold]])</f>
        <v>30372</v>
      </c>
      <c r="K164" s="1" t="s">
        <v>239</v>
      </c>
      <c r="L164" s="5" t="s">
        <v>246</v>
      </c>
    </row>
    <row r="165" spans="1:12" x14ac:dyDescent="0.25">
      <c r="A165" s="4" t="s">
        <v>173</v>
      </c>
      <c r="B165" s="12">
        <v>45517</v>
      </c>
      <c r="C165" s="1">
        <f>MONTH(Table1[[#This Row],[Date]])</f>
        <v>8</v>
      </c>
      <c r="D165" s="1" t="s">
        <v>213</v>
      </c>
      <c r="E165" s="1" t="s">
        <v>218</v>
      </c>
      <c r="F165" s="1" t="s">
        <v>230</v>
      </c>
      <c r="G165" s="1">
        <v>1</v>
      </c>
      <c r="H165" s="1">
        <v>47275</v>
      </c>
      <c r="I165" s="1">
        <v>47275</v>
      </c>
      <c r="J165" s="1">
        <f>AVERAGE(Table1[[#This Row],[Revenue]],Table1[[#This Row],[Quantity Sold]])</f>
        <v>23638</v>
      </c>
      <c r="K165" s="1" t="s">
        <v>239</v>
      </c>
      <c r="L165" s="5" t="s">
        <v>246</v>
      </c>
    </row>
    <row r="166" spans="1:12" x14ac:dyDescent="0.25">
      <c r="A166" s="4" t="s">
        <v>174</v>
      </c>
      <c r="B166" s="12">
        <v>45518</v>
      </c>
      <c r="C166" s="1">
        <f>MONTH(Table1[[#This Row],[Date]])</f>
        <v>8</v>
      </c>
      <c r="D166" s="1" t="s">
        <v>211</v>
      </c>
      <c r="E166" s="1" t="s">
        <v>216</v>
      </c>
      <c r="F166" s="1" t="s">
        <v>223</v>
      </c>
      <c r="G166" s="1">
        <v>3</v>
      </c>
      <c r="H166" s="1">
        <v>36868</v>
      </c>
      <c r="I166" s="1">
        <v>110604</v>
      </c>
      <c r="J166" s="1">
        <f>AVERAGE(Table1[[#This Row],[Revenue]],Table1[[#This Row],[Quantity Sold]])</f>
        <v>55303.5</v>
      </c>
      <c r="K166" s="1" t="s">
        <v>241</v>
      </c>
      <c r="L166" s="5" t="s">
        <v>245</v>
      </c>
    </row>
    <row r="167" spans="1:12" x14ac:dyDescent="0.25">
      <c r="A167" s="4" t="s">
        <v>175</v>
      </c>
      <c r="B167" s="12">
        <v>45519</v>
      </c>
      <c r="C167" s="1">
        <f>MONTH(Table1[[#This Row],[Date]])</f>
        <v>8</v>
      </c>
      <c r="D167" s="1" t="s">
        <v>214</v>
      </c>
      <c r="E167" s="1" t="s">
        <v>215</v>
      </c>
      <c r="F167" s="1" t="s">
        <v>221</v>
      </c>
      <c r="G167" s="1">
        <v>4</v>
      </c>
      <c r="H167" s="1">
        <v>88756</v>
      </c>
      <c r="I167" s="1">
        <v>355024</v>
      </c>
      <c r="J167" s="1">
        <f>AVERAGE(Table1[[#This Row],[Revenue]],Table1[[#This Row],[Quantity Sold]])</f>
        <v>177514</v>
      </c>
      <c r="K167" s="1" t="s">
        <v>241</v>
      </c>
      <c r="L167" s="5" t="s">
        <v>245</v>
      </c>
    </row>
    <row r="168" spans="1:12" x14ac:dyDescent="0.25">
      <c r="A168" s="4" t="s">
        <v>176</v>
      </c>
      <c r="B168" s="12">
        <v>45520</v>
      </c>
      <c r="C168" s="1">
        <f>MONTH(Table1[[#This Row],[Date]])</f>
        <v>8</v>
      </c>
      <c r="D168" s="1" t="s">
        <v>214</v>
      </c>
      <c r="E168" s="1" t="s">
        <v>220</v>
      </c>
      <c r="F168" s="1" t="s">
        <v>234</v>
      </c>
      <c r="G168" s="1">
        <v>2</v>
      </c>
      <c r="H168" s="1">
        <v>35683</v>
      </c>
      <c r="I168" s="1">
        <v>71366</v>
      </c>
      <c r="J168" s="1">
        <f>AVERAGE(Table1[[#This Row],[Revenue]],Table1[[#This Row],[Quantity Sold]])</f>
        <v>35684</v>
      </c>
      <c r="K168" s="1" t="s">
        <v>244</v>
      </c>
      <c r="L168" s="5" t="s">
        <v>246</v>
      </c>
    </row>
    <row r="169" spans="1:12" x14ac:dyDescent="0.25">
      <c r="A169" s="4" t="s">
        <v>177</v>
      </c>
      <c r="B169" s="12">
        <v>45521</v>
      </c>
      <c r="C169" s="1">
        <f>MONTH(Table1[[#This Row],[Date]])</f>
        <v>8</v>
      </c>
      <c r="D169" s="1" t="s">
        <v>211</v>
      </c>
      <c r="E169" s="1" t="s">
        <v>215</v>
      </c>
      <c r="F169" s="1" t="s">
        <v>221</v>
      </c>
      <c r="G169" s="1">
        <v>1</v>
      </c>
      <c r="H169" s="1">
        <v>92781</v>
      </c>
      <c r="I169" s="1">
        <v>92781</v>
      </c>
      <c r="J169" s="1">
        <f>AVERAGE(Table1[[#This Row],[Revenue]],Table1[[#This Row],[Quantity Sold]])</f>
        <v>46391</v>
      </c>
      <c r="K169" s="1" t="s">
        <v>243</v>
      </c>
      <c r="L169" s="5" t="s">
        <v>245</v>
      </c>
    </row>
    <row r="170" spans="1:12" x14ac:dyDescent="0.25">
      <c r="A170" s="4" t="s">
        <v>178</v>
      </c>
      <c r="B170" s="12">
        <v>45522</v>
      </c>
      <c r="C170" s="1">
        <f>MONTH(Table1[[#This Row],[Date]])</f>
        <v>8</v>
      </c>
      <c r="D170" s="1" t="s">
        <v>213</v>
      </c>
      <c r="E170" s="1" t="s">
        <v>220</v>
      </c>
      <c r="F170" s="1" t="s">
        <v>234</v>
      </c>
      <c r="G170" s="1">
        <v>4</v>
      </c>
      <c r="H170" s="1">
        <v>39632</v>
      </c>
      <c r="I170" s="1">
        <v>158528</v>
      </c>
      <c r="J170" s="1">
        <f>AVERAGE(Table1[[#This Row],[Revenue]],Table1[[#This Row],[Quantity Sold]])</f>
        <v>79266</v>
      </c>
      <c r="K170" s="1" t="s">
        <v>241</v>
      </c>
      <c r="L170" s="5" t="s">
        <v>245</v>
      </c>
    </row>
    <row r="171" spans="1:12" x14ac:dyDescent="0.25">
      <c r="A171" s="4" t="s">
        <v>179</v>
      </c>
      <c r="B171" s="12">
        <v>45523</v>
      </c>
      <c r="C171" s="1">
        <f>MONTH(Table1[[#This Row],[Date]])</f>
        <v>8</v>
      </c>
      <c r="D171" s="1" t="s">
        <v>214</v>
      </c>
      <c r="E171" s="1" t="s">
        <v>216</v>
      </c>
      <c r="F171" s="1" t="s">
        <v>223</v>
      </c>
      <c r="G171" s="1">
        <v>3</v>
      </c>
      <c r="H171" s="1">
        <v>72622</v>
      </c>
      <c r="I171" s="1">
        <v>217866</v>
      </c>
      <c r="J171" s="1">
        <f>AVERAGE(Table1[[#This Row],[Revenue]],Table1[[#This Row],[Quantity Sold]])</f>
        <v>108934.5</v>
      </c>
      <c r="K171" s="1" t="s">
        <v>241</v>
      </c>
      <c r="L171" s="5" t="s">
        <v>246</v>
      </c>
    </row>
    <row r="172" spans="1:12" x14ac:dyDescent="0.25">
      <c r="A172" s="4" t="s">
        <v>180</v>
      </c>
      <c r="B172" s="12">
        <v>45524</v>
      </c>
      <c r="C172" s="1">
        <f>MONTH(Table1[[#This Row],[Date]])</f>
        <v>8</v>
      </c>
      <c r="D172" s="1" t="s">
        <v>212</v>
      </c>
      <c r="E172" s="1" t="s">
        <v>220</v>
      </c>
      <c r="F172" s="1" t="s">
        <v>234</v>
      </c>
      <c r="G172" s="1">
        <v>5</v>
      </c>
      <c r="H172" s="1">
        <v>86387</v>
      </c>
      <c r="I172" s="1">
        <v>431935</v>
      </c>
      <c r="J172" s="1">
        <f>AVERAGE(Table1[[#This Row],[Revenue]],Table1[[#This Row],[Quantity Sold]])</f>
        <v>215970</v>
      </c>
      <c r="K172" s="1" t="s">
        <v>243</v>
      </c>
      <c r="L172" s="5" t="s">
        <v>245</v>
      </c>
    </row>
    <row r="173" spans="1:12" x14ac:dyDescent="0.25">
      <c r="A173" s="4" t="s">
        <v>181</v>
      </c>
      <c r="B173" s="12">
        <v>45525</v>
      </c>
      <c r="C173" s="1">
        <f>MONTH(Table1[[#This Row],[Date]])</f>
        <v>8</v>
      </c>
      <c r="D173" s="1" t="s">
        <v>211</v>
      </c>
      <c r="E173" s="1" t="s">
        <v>220</v>
      </c>
      <c r="F173" s="1" t="s">
        <v>238</v>
      </c>
      <c r="G173" s="1">
        <v>2</v>
      </c>
      <c r="H173" s="1">
        <v>84239</v>
      </c>
      <c r="I173" s="1">
        <v>168478</v>
      </c>
      <c r="J173" s="1">
        <f>AVERAGE(Table1[[#This Row],[Revenue]],Table1[[#This Row],[Quantity Sold]])</f>
        <v>84240</v>
      </c>
      <c r="K173" s="1" t="s">
        <v>242</v>
      </c>
      <c r="L173" s="5" t="s">
        <v>246</v>
      </c>
    </row>
    <row r="174" spans="1:12" x14ac:dyDescent="0.25">
      <c r="A174" s="4" t="s">
        <v>182</v>
      </c>
      <c r="B174" s="12">
        <v>45526</v>
      </c>
      <c r="C174" s="1">
        <f>MONTH(Table1[[#This Row],[Date]])</f>
        <v>8</v>
      </c>
      <c r="D174" s="1" t="s">
        <v>213</v>
      </c>
      <c r="E174" s="1" t="s">
        <v>215</v>
      </c>
      <c r="F174" s="1" t="s">
        <v>221</v>
      </c>
      <c r="G174" s="1">
        <v>3</v>
      </c>
      <c r="H174" s="1">
        <v>85936</v>
      </c>
      <c r="I174" s="1">
        <v>257808</v>
      </c>
      <c r="J174" s="1">
        <f>AVERAGE(Table1[[#This Row],[Revenue]],Table1[[#This Row],[Quantity Sold]])</f>
        <v>128905.5</v>
      </c>
      <c r="K174" s="1" t="s">
        <v>244</v>
      </c>
      <c r="L174" s="5" t="s">
        <v>245</v>
      </c>
    </row>
    <row r="175" spans="1:12" x14ac:dyDescent="0.25">
      <c r="A175" s="4" t="s">
        <v>183</v>
      </c>
      <c r="B175" s="12">
        <v>45527</v>
      </c>
      <c r="C175" s="1">
        <f>MONTH(Table1[[#This Row],[Date]])</f>
        <v>8</v>
      </c>
      <c r="D175" s="1" t="s">
        <v>212</v>
      </c>
      <c r="E175" s="1" t="s">
        <v>215</v>
      </c>
      <c r="F175" s="1" t="s">
        <v>237</v>
      </c>
      <c r="G175" s="1">
        <v>1</v>
      </c>
      <c r="H175" s="1">
        <v>41957</v>
      </c>
      <c r="I175" s="1">
        <v>41957</v>
      </c>
      <c r="J175" s="1">
        <f>AVERAGE(Table1[[#This Row],[Revenue]],Table1[[#This Row],[Quantity Sold]])</f>
        <v>20979</v>
      </c>
      <c r="K175" s="1" t="s">
        <v>242</v>
      </c>
      <c r="L175" s="5" t="s">
        <v>245</v>
      </c>
    </row>
    <row r="176" spans="1:12" x14ac:dyDescent="0.25">
      <c r="A176" s="4" t="s">
        <v>184</v>
      </c>
      <c r="B176" s="12">
        <v>45528</v>
      </c>
      <c r="C176" s="1">
        <f>MONTH(Table1[[#This Row],[Date]])</f>
        <v>8</v>
      </c>
      <c r="D176" s="1" t="s">
        <v>212</v>
      </c>
      <c r="E176" s="1" t="s">
        <v>215</v>
      </c>
      <c r="F176" s="1" t="s">
        <v>222</v>
      </c>
      <c r="G176" s="1">
        <v>3</v>
      </c>
      <c r="H176" s="1">
        <v>47054</v>
      </c>
      <c r="I176" s="1">
        <v>141162</v>
      </c>
      <c r="J176" s="1">
        <f>AVERAGE(Table1[[#This Row],[Revenue]],Table1[[#This Row],[Quantity Sold]])</f>
        <v>70582.5</v>
      </c>
      <c r="K176" s="1" t="s">
        <v>241</v>
      </c>
      <c r="L176" s="5" t="s">
        <v>246</v>
      </c>
    </row>
    <row r="177" spans="1:12" x14ac:dyDescent="0.25">
      <c r="A177" s="4" t="s">
        <v>185</v>
      </c>
      <c r="B177" s="12">
        <v>45529</v>
      </c>
      <c r="C177" s="1">
        <f>MONTH(Table1[[#This Row],[Date]])</f>
        <v>8</v>
      </c>
      <c r="D177" s="1" t="s">
        <v>211</v>
      </c>
      <c r="E177" s="1" t="s">
        <v>215</v>
      </c>
      <c r="F177" s="1" t="s">
        <v>221</v>
      </c>
      <c r="G177" s="1">
        <v>4</v>
      </c>
      <c r="H177" s="1">
        <v>76346</v>
      </c>
      <c r="I177" s="1">
        <v>305384</v>
      </c>
      <c r="J177" s="1">
        <f>AVERAGE(Table1[[#This Row],[Revenue]],Table1[[#This Row],[Quantity Sold]])</f>
        <v>152694</v>
      </c>
      <c r="K177" s="1" t="s">
        <v>243</v>
      </c>
      <c r="L177" s="5" t="s">
        <v>245</v>
      </c>
    </row>
    <row r="178" spans="1:12" x14ac:dyDescent="0.25">
      <c r="A178" s="4" t="s">
        <v>186</v>
      </c>
      <c r="B178" s="12">
        <v>45530</v>
      </c>
      <c r="C178" s="1">
        <f>MONTH(Table1[[#This Row],[Date]])</f>
        <v>8</v>
      </c>
      <c r="D178" s="1" t="s">
        <v>214</v>
      </c>
      <c r="E178" s="1" t="s">
        <v>217</v>
      </c>
      <c r="F178" s="1" t="s">
        <v>235</v>
      </c>
      <c r="G178" s="1">
        <v>3</v>
      </c>
      <c r="H178" s="1">
        <v>76090</v>
      </c>
      <c r="I178" s="1">
        <v>228270</v>
      </c>
      <c r="J178" s="1">
        <f>AVERAGE(Table1[[#This Row],[Revenue]],Table1[[#This Row],[Quantity Sold]])</f>
        <v>114136.5</v>
      </c>
      <c r="K178" s="1" t="s">
        <v>241</v>
      </c>
      <c r="L178" s="5" t="s">
        <v>245</v>
      </c>
    </row>
    <row r="179" spans="1:12" x14ac:dyDescent="0.25">
      <c r="A179" s="4" t="s">
        <v>187</v>
      </c>
      <c r="B179" s="12">
        <v>45531</v>
      </c>
      <c r="C179" s="1">
        <f>MONTH(Table1[[#This Row],[Date]])</f>
        <v>8</v>
      </c>
      <c r="D179" s="1" t="s">
        <v>213</v>
      </c>
      <c r="E179" s="1" t="s">
        <v>218</v>
      </c>
      <c r="F179" s="1" t="s">
        <v>229</v>
      </c>
      <c r="G179" s="1">
        <v>4</v>
      </c>
      <c r="H179" s="1">
        <v>59392</v>
      </c>
      <c r="I179" s="1">
        <v>237568</v>
      </c>
      <c r="J179" s="1">
        <f>AVERAGE(Table1[[#This Row],[Revenue]],Table1[[#This Row],[Quantity Sold]])</f>
        <v>118786</v>
      </c>
      <c r="K179" s="1" t="s">
        <v>241</v>
      </c>
      <c r="L179" s="5" t="s">
        <v>246</v>
      </c>
    </row>
    <row r="180" spans="1:12" x14ac:dyDescent="0.25">
      <c r="A180" s="4" t="s">
        <v>188</v>
      </c>
      <c r="B180" s="12">
        <v>45532</v>
      </c>
      <c r="C180" s="1">
        <f>MONTH(Table1[[#This Row],[Date]])</f>
        <v>8</v>
      </c>
      <c r="D180" s="1" t="s">
        <v>214</v>
      </c>
      <c r="E180" s="1" t="s">
        <v>216</v>
      </c>
      <c r="F180" s="1" t="s">
        <v>228</v>
      </c>
      <c r="G180" s="1">
        <v>5</v>
      </c>
      <c r="H180" s="1">
        <v>59643</v>
      </c>
      <c r="I180" s="1">
        <v>298215</v>
      </c>
      <c r="J180" s="1">
        <f>AVERAGE(Table1[[#This Row],[Revenue]],Table1[[#This Row],[Quantity Sold]])</f>
        <v>149110</v>
      </c>
      <c r="K180" s="1" t="s">
        <v>241</v>
      </c>
      <c r="L180" s="5" t="s">
        <v>245</v>
      </c>
    </row>
    <row r="181" spans="1:12" x14ac:dyDescent="0.25">
      <c r="A181" s="4" t="s">
        <v>189</v>
      </c>
      <c r="B181" s="12">
        <v>45533</v>
      </c>
      <c r="C181" s="1">
        <f>MONTH(Table1[[#This Row],[Date]])</f>
        <v>8</v>
      </c>
      <c r="D181" s="1" t="s">
        <v>213</v>
      </c>
      <c r="E181" s="1" t="s">
        <v>219</v>
      </c>
      <c r="F181" s="1" t="s">
        <v>227</v>
      </c>
      <c r="G181" s="1">
        <v>3</v>
      </c>
      <c r="H181" s="1">
        <v>33794</v>
      </c>
      <c r="I181" s="1">
        <v>101382</v>
      </c>
      <c r="J181" s="1">
        <f>AVERAGE(Table1[[#This Row],[Revenue]],Table1[[#This Row],[Quantity Sold]])</f>
        <v>50692.5</v>
      </c>
      <c r="K181" s="1" t="s">
        <v>243</v>
      </c>
      <c r="L181" s="5" t="s">
        <v>246</v>
      </c>
    </row>
    <row r="182" spans="1:12" x14ac:dyDescent="0.25">
      <c r="A182" s="4" t="s">
        <v>190</v>
      </c>
      <c r="B182" s="12">
        <v>45534</v>
      </c>
      <c r="C182" s="1">
        <f>MONTH(Table1[[#This Row],[Date]])</f>
        <v>8</v>
      </c>
      <c r="D182" s="1" t="s">
        <v>214</v>
      </c>
      <c r="E182" s="1" t="s">
        <v>217</v>
      </c>
      <c r="F182" s="1" t="s">
        <v>236</v>
      </c>
      <c r="G182" s="1">
        <v>1</v>
      </c>
      <c r="H182" s="1">
        <v>53777</v>
      </c>
      <c r="I182" s="1">
        <v>53777</v>
      </c>
      <c r="J182" s="1">
        <f>AVERAGE(Table1[[#This Row],[Revenue]],Table1[[#This Row],[Quantity Sold]])</f>
        <v>26889</v>
      </c>
      <c r="K182" s="1" t="s">
        <v>243</v>
      </c>
      <c r="L182" s="5" t="s">
        <v>246</v>
      </c>
    </row>
    <row r="183" spans="1:12" x14ac:dyDescent="0.25">
      <c r="A183" s="4" t="s">
        <v>191</v>
      </c>
      <c r="B183" s="12">
        <v>45535</v>
      </c>
      <c r="C183" s="1">
        <f>MONTH(Table1[[#This Row],[Date]])</f>
        <v>8</v>
      </c>
      <c r="D183" s="1" t="s">
        <v>210</v>
      </c>
      <c r="E183" s="1" t="s">
        <v>216</v>
      </c>
      <c r="F183" s="1" t="s">
        <v>223</v>
      </c>
      <c r="G183" s="1">
        <v>1</v>
      </c>
      <c r="H183" s="1">
        <v>42026</v>
      </c>
      <c r="I183" s="1">
        <v>42026</v>
      </c>
      <c r="J183" s="1">
        <f>AVERAGE(Table1[[#This Row],[Revenue]],Table1[[#This Row],[Quantity Sold]])</f>
        <v>21013.5</v>
      </c>
      <c r="K183" s="1" t="s">
        <v>242</v>
      </c>
      <c r="L183" s="5" t="s">
        <v>246</v>
      </c>
    </row>
    <row r="184" spans="1:12" x14ac:dyDescent="0.25">
      <c r="A184" s="4" t="s">
        <v>192</v>
      </c>
      <c r="B184" s="12">
        <v>45536</v>
      </c>
      <c r="C184" s="1">
        <f>MONTH(Table1[[#This Row],[Date]])</f>
        <v>9</v>
      </c>
      <c r="D184" s="1" t="s">
        <v>213</v>
      </c>
      <c r="E184" s="1" t="s">
        <v>220</v>
      </c>
      <c r="F184" s="1" t="s">
        <v>238</v>
      </c>
      <c r="G184" s="1">
        <v>2</v>
      </c>
      <c r="H184" s="1">
        <v>78503</v>
      </c>
      <c r="I184" s="1">
        <v>157006</v>
      </c>
      <c r="J184" s="1">
        <f>AVERAGE(Table1[[#This Row],[Revenue]],Table1[[#This Row],[Quantity Sold]])</f>
        <v>78504</v>
      </c>
      <c r="K184" s="1" t="s">
        <v>241</v>
      </c>
      <c r="L184" s="5" t="s">
        <v>245</v>
      </c>
    </row>
    <row r="185" spans="1:12" x14ac:dyDescent="0.25">
      <c r="A185" s="4" t="s">
        <v>193</v>
      </c>
      <c r="B185" s="12">
        <v>45537</v>
      </c>
      <c r="C185" s="1">
        <f>MONTH(Table1[[#This Row],[Date]])</f>
        <v>9</v>
      </c>
      <c r="D185" s="1" t="s">
        <v>212</v>
      </c>
      <c r="E185" s="1" t="s">
        <v>216</v>
      </c>
      <c r="F185" s="1" t="s">
        <v>223</v>
      </c>
      <c r="G185" s="1">
        <v>2</v>
      </c>
      <c r="H185" s="1">
        <v>36522</v>
      </c>
      <c r="I185" s="1">
        <v>73044</v>
      </c>
      <c r="J185" s="1">
        <f>AVERAGE(Table1[[#This Row],[Revenue]],Table1[[#This Row],[Quantity Sold]])</f>
        <v>36523</v>
      </c>
      <c r="K185" s="1" t="s">
        <v>244</v>
      </c>
      <c r="L185" s="5" t="s">
        <v>246</v>
      </c>
    </row>
    <row r="186" spans="1:12" x14ac:dyDescent="0.25">
      <c r="A186" s="4" t="s">
        <v>194</v>
      </c>
      <c r="B186" s="12">
        <v>45538</v>
      </c>
      <c r="C186" s="1">
        <f>MONTH(Table1[[#This Row],[Date]])</f>
        <v>9</v>
      </c>
      <c r="D186" s="1" t="s">
        <v>213</v>
      </c>
      <c r="E186" s="1" t="s">
        <v>215</v>
      </c>
      <c r="F186" s="1" t="s">
        <v>237</v>
      </c>
      <c r="G186" s="1">
        <v>4</v>
      </c>
      <c r="H186" s="1">
        <v>87939</v>
      </c>
      <c r="I186" s="1">
        <v>351756</v>
      </c>
      <c r="J186" s="1">
        <f>AVERAGE(Table1[[#This Row],[Revenue]],Table1[[#This Row],[Quantity Sold]])</f>
        <v>175880</v>
      </c>
      <c r="K186" s="1" t="s">
        <v>239</v>
      </c>
      <c r="L186" s="5" t="s">
        <v>245</v>
      </c>
    </row>
    <row r="187" spans="1:12" x14ac:dyDescent="0.25">
      <c r="A187" s="4" t="s">
        <v>195</v>
      </c>
      <c r="B187" s="12">
        <v>45539</v>
      </c>
      <c r="C187" s="1">
        <f>MONTH(Table1[[#This Row],[Date]])</f>
        <v>9</v>
      </c>
      <c r="D187" s="1" t="s">
        <v>214</v>
      </c>
      <c r="E187" s="1" t="s">
        <v>217</v>
      </c>
      <c r="F187" s="1" t="s">
        <v>236</v>
      </c>
      <c r="G187" s="1">
        <v>1</v>
      </c>
      <c r="H187" s="1">
        <v>67125</v>
      </c>
      <c r="I187" s="1">
        <v>67125</v>
      </c>
      <c r="J187" s="1">
        <f>AVERAGE(Table1[[#This Row],[Revenue]],Table1[[#This Row],[Quantity Sold]])</f>
        <v>33563</v>
      </c>
      <c r="K187" s="1" t="s">
        <v>242</v>
      </c>
      <c r="L187" s="5" t="s">
        <v>246</v>
      </c>
    </row>
    <row r="188" spans="1:12" x14ac:dyDescent="0.25">
      <c r="A188" s="4" t="s">
        <v>196</v>
      </c>
      <c r="B188" s="12">
        <v>45540</v>
      </c>
      <c r="C188" s="1">
        <f>MONTH(Table1[[#This Row],[Date]])</f>
        <v>9</v>
      </c>
      <c r="D188" s="1" t="s">
        <v>210</v>
      </c>
      <c r="E188" s="1" t="s">
        <v>216</v>
      </c>
      <c r="F188" s="1" t="s">
        <v>223</v>
      </c>
      <c r="G188" s="1">
        <v>4</v>
      </c>
      <c r="H188" s="1">
        <v>37180</v>
      </c>
      <c r="I188" s="1">
        <v>148720</v>
      </c>
      <c r="J188" s="1">
        <f>AVERAGE(Table1[[#This Row],[Revenue]],Table1[[#This Row],[Quantity Sold]])</f>
        <v>74362</v>
      </c>
      <c r="K188" s="1" t="s">
        <v>244</v>
      </c>
      <c r="L188" s="5" t="s">
        <v>245</v>
      </c>
    </row>
    <row r="189" spans="1:12" x14ac:dyDescent="0.25">
      <c r="A189" s="4" t="s">
        <v>197</v>
      </c>
      <c r="B189" s="12">
        <v>45541</v>
      </c>
      <c r="C189" s="1">
        <f>MONTH(Table1[[#This Row],[Date]])</f>
        <v>9</v>
      </c>
      <c r="D189" s="1" t="s">
        <v>212</v>
      </c>
      <c r="E189" s="1" t="s">
        <v>218</v>
      </c>
      <c r="F189" s="1" t="s">
        <v>226</v>
      </c>
      <c r="G189" s="1">
        <v>3</v>
      </c>
      <c r="H189" s="1">
        <v>73007</v>
      </c>
      <c r="I189" s="1">
        <v>219021</v>
      </c>
      <c r="J189" s="1">
        <f>AVERAGE(Table1[[#This Row],[Revenue]],Table1[[#This Row],[Quantity Sold]])</f>
        <v>109512</v>
      </c>
      <c r="K189" s="1" t="s">
        <v>242</v>
      </c>
      <c r="L189" s="5" t="s">
        <v>246</v>
      </c>
    </row>
    <row r="190" spans="1:12" x14ac:dyDescent="0.25">
      <c r="A190" s="4" t="s">
        <v>198</v>
      </c>
      <c r="B190" s="12">
        <v>45542</v>
      </c>
      <c r="C190" s="1">
        <f>MONTH(Table1[[#This Row],[Date]])</f>
        <v>9</v>
      </c>
      <c r="D190" s="1" t="s">
        <v>210</v>
      </c>
      <c r="E190" s="1" t="s">
        <v>218</v>
      </c>
      <c r="F190" s="1" t="s">
        <v>230</v>
      </c>
      <c r="G190" s="1">
        <v>4</v>
      </c>
      <c r="H190" s="1">
        <v>99806</v>
      </c>
      <c r="I190" s="1">
        <v>399224</v>
      </c>
      <c r="J190" s="1">
        <f>AVERAGE(Table1[[#This Row],[Revenue]],Table1[[#This Row],[Quantity Sold]])</f>
        <v>199614</v>
      </c>
      <c r="K190" s="1" t="s">
        <v>241</v>
      </c>
      <c r="L190" s="5" t="s">
        <v>246</v>
      </c>
    </row>
    <row r="191" spans="1:12" x14ac:dyDescent="0.25">
      <c r="A191" s="4" t="s">
        <v>199</v>
      </c>
      <c r="B191" s="12">
        <v>45543</v>
      </c>
      <c r="C191" s="1">
        <f>MONTH(Table1[[#This Row],[Date]])</f>
        <v>9</v>
      </c>
      <c r="D191" s="1" t="s">
        <v>211</v>
      </c>
      <c r="E191" s="1" t="s">
        <v>216</v>
      </c>
      <c r="F191" s="1" t="s">
        <v>228</v>
      </c>
      <c r="G191" s="1">
        <v>1</v>
      </c>
      <c r="H191" s="1">
        <v>87176</v>
      </c>
      <c r="I191" s="1">
        <v>87176</v>
      </c>
      <c r="J191" s="1">
        <f>AVERAGE(Table1[[#This Row],[Revenue]],Table1[[#This Row],[Quantity Sold]])</f>
        <v>43588.5</v>
      </c>
      <c r="K191" s="1" t="s">
        <v>240</v>
      </c>
      <c r="L191" s="5" t="s">
        <v>246</v>
      </c>
    </row>
    <row r="192" spans="1:12" x14ac:dyDescent="0.25">
      <c r="A192" s="4" t="s">
        <v>200</v>
      </c>
      <c r="B192" s="12">
        <v>45544</v>
      </c>
      <c r="C192" s="1">
        <f>MONTH(Table1[[#This Row],[Date]])</f>
        <v>9</v>
      </c>
      <c r="D192" s="1" t="s">
        <v>211</v>
      </c>
      <c r="E192" s="1" t="s">
        <v>219</v>
      </c>
      <c r="F192" s="1" t="s">
        <v>231</v>
      </c>
      <c r="G192" s="1">
        <v>5</v>
      </c>
      <c r="H192" s="1">
        <v>83008</v>
      </c>
      <c r="I192" s="1">
        <v>415040</v>
      </c>
      <c r="J192" s="1">
        <f>AVERAGE(Table1[[#This Row],[Revenue]],Table1[[#This Row],[Quantity Sold]])</f>
        <v>207522.5</v>
      </c>
      <c r="K192" s="1" t="s">
        <v>244</v>
      </c>
      <c r="L192" s="5" t="s">
        <v>245</v>
      </c>
    </row>
    <row r="193" spans="1:12" x14ac:dyDescent="0.25">
      <c r="A193" s="4" t="s">
        <v>201</v>
      </c>
      <c r="B193" s="12">
        <v>45545</v>
      </c>
      <c r="C193" s="1">
        <f>MONTH(Table1[[#This Row],[Date]])</f>
        <v>9</v>
      </c>
      <c r="D193" s="1" t="s">
        <v>211</v>
      </c>
      <c r="E193" s="1" t="s">
        <v>220</v>
      </c>
      <c r="F193" s="1" t="s">
        <v>232</v>
      </c>
      <c r="G193" s="1">
        <v>3</v>
      </c>
      <c r="H193" s="1">
        <v>52527</v>
      </c>
      <c r="I193" s="1">
        <v>157581</v>
      </c>
      <c r="J193" s="1">
        <f>AVERAGE(Table1[[#This Row],[Revenue]],Table1[[#This Row],[Quantity Sold]])</f>
        <v>78792</v>
      </c>
      <c r="K193" s="1" t="s">
        <v>243</v>
      </c>
      <c r="L193" s="5" t="s">
        <v>246</v>
      </c>
    </row>
    <row r="194" spans="1:12" x14ac:dyDescent="0.25">
      <c r="A194" s="4" t="s">
        <v>202</v>
      </c>
      <c r="B194" s="12">
        <v>45546</v>
      </c>
      <c r="C194" s="1">
        <f>MONTH(Table1[[#This Row],[Date]])</f>
        <v>9</v>
      </c>
      <c r="D194" s="1" t="s">
        <v>214</v>
      </c>
      <c r="E194" s="1" t="s">
        <v>216</v>
      </c>
      <c r="F194" s="1" t="s">
        <v>228</v>
      </c>
      <c r="G194" s="1">
        <v>1</v>
      </c>
      <c r="H194" s="1">
        <v>61891</v>
      </c>
      <c r="I194" s="1">
        <v>61891</v>
      </c>
      <c r="J194" s="1">
        <f>AVERAGE(Table1[[#This Row],[Revenue]],Table1[[#This Row],[Quantity Sold]])</f>
        <v>30946</v>
      </c>
      <c r="K194" s="1" t="s">
        <v>242</v>
      </c>
      <c r="L194" s="5" t="s">
        <v>245</v>
      </c>
    </row>
    <row r="195" spans="1:12" x14ac:dyDescent="0.25">
      <c r="A195" s="4" t="s">
        <v>203</v>
      </c>
      <c r="B195" s="12">
        <v>45547</v>
      </c>
      <c r="C195" s="1">
        <f>MONTH(Table1[[#This Row],[Date]])</f>
        <v>9</v>
      </c>
      <c r="D195" s="1" t="s">
        <v>210</v>
      </c>
      <c r="E195" s="1" t="s">
        <v>220</v>
      </c>
      <c r="F195" s="1" t="s">
        <v>238</v>
      </c>
      <c r="G195" s="1">
        <v>3</v>
      </c>
      <c r="H195" s="1">
        <v>59041</v>
      </c>
      <c r="I195" s="1">
        <v>177123</v>
      </c>
      <c r="J195" s="1">
        <f>AVERAGE(Table1[[#This Row],[Revenue]],Table1[[#This Row],[Quantity Sold]])</f>
        <v>88563</v>
      </c>
      <c r="K195" s="1" t="s">
        <v>240</v>
      </c>
      <c r="L195" s="5" t="s">
        <v>245</v>
      </c>
    </row>
    <row r="196" spans="1:12" x14ac:dyDescent="0.25">
      <c r="A196" s="4" t="s">
        <v>204</v>
      </c>
      <c r="B196" s="12">
        <v>45548</v>
      </c>
      <c r="C196" s="1">
        <f>MONTH(Table1[[#This Row],[Date]])</f>
        <v>9</v>
      </c>
      <c r="D196" s="1" t="s">
        <v>210</v>
      </c>
      <c r="E196" s="1" t="s">
        <v>219</v>
      </c>
      <c r="F196" s="1" t="s">
        <v>227</v>
      </c>
      <c r="G196" s="1">
        <v>2</v>
      </c>
      <c r="H196" s="1">
        <v>75793</v>
      </c>
      <c r="I196" s="1">
        <v>151586</v>
      </c>
      <c r="J196" s="1">
        <f>AVERAGE(Table1[[#This Row],[Revenue]],Table1[[#This Row],[Quantity Sold]])</f>
        <v>75794</v>
      </c>
      <c r="K196" s="1" t="s">
        <v>239</v>
      </c>
      <c r="L196" s="5" t="s">
        <v>245</v>
      </c>
    </row>
    <row r="197" spans="1:12" x14ac:dyDescent="0.25">
      <c r="A197" s="4" t="s">
        <v>205</v>
      </c>
      <c r="B197" s="12">
        <v>45549</v>
      </c>
      <c r="C197" s="1">
        <f>MONTH(Table1[[#This Row],[Date]])</f>
        <v>9</v>
      </c>
      <c r="D197" s="1" t="s">
        <v>210</v>
      </c>
      <c r="E197" s="1" t="s">
        <v>218</v>
      </c>
      <c r="F197" s="1" t="s">
        <v>226</v>
      </c>
      <c r="G197" s="1">
        <v>2</v>
      </c>
      <c r="H197" s="1">
        <v>52740</v>
      </c>
      <c r="I197" s="1">
        <v>105480</v>
      </c>
      <c r="J197" s="1">
        <f>AVERAGE(Table1[[#This Row],[Revenue]],Table1[[#This Row],[Quantity Sold]])</f>
        <v>52741</v>
      </c>
      <c r="K197" s="1" t="s">
        <v>243</v>
      </c>
      <c r="L197" s="5" t="s">
        <v>245</v>
      </c>
    </row>
    <row r="198" spans="1:12" x14ac:dyDescent="0.25">
      <c r="A198" s="4" t="s">
        <v>206</v>
      </c>
      <c r="B198" s="12">
        <v>45550</v>
      </c>
      <c r="C198" s="1">
        <f>MONTH(Table1[[#This Row],[Date]])</f>
        <v>9</v>
      </c>
      <c r="D198" s="1" t="s">
        <v>214</v>
      </c>
      <c r="E198" s="1" t="s">
        <v>218</v>
      </c>
      <c r="F198" s="1" t="s">
        <v>229</v>
      </c>
      <c r="G198" s="1">
        <v>4</v>
      </c>
      <c r="H198" s="1">
        <v>90811</v>
      </c>
      <c r="I198" s="1">
        <v>363244</v>
      </c>
      <c r="J198" s="1">
        <f>AVERAGE(Table1[[#This Row],[Revenue]],Table1[[#This Row],[Quantity Sold]])</f>
        <v>181624</v>
      </c>
      <c r="K198" s="1" t="s">
        <v>242</v>
      </c>
      <c r="L198" s="5" t="s">
        <v>246</v>
      </c>
    </row>
    <row r="199" spans="1:12" x14ac:dyDescent="0.25">
      <c r="A199" s="4" t="s">
        <v>207</v>
      </c>
      <c r="B199" s="12">
        <v>45551</v>
      </c>
      <c r="C199" s="1">
        <f>MONTH(Table1[[#This Row],[Date]])</f>
        <v>9</v>
      </c>
      <c r="D199" s="1" t="s">
        <v>211</v>
      </c>
      <c r="E199" s="1" t="s">
        <v>215</v>
      </c>
      <c r="F199" s="1" t="s">
        <v>237</v>
      </c>
      <c r="G199" s="1">
        <v>2</v>
      </c>
      <c r="H199" s="1">
        <v>87640</v>
      </c>
      <c r="I199" s="1">
        <v>175280</v>
      </c>
      <c r="J199" s="1">
        <f>AVERAGE(Table1[[#This Row],[Revenue]],Table1[[#This Row],[Quantity Sold]])</f>
        <v>87641</v>
      </c>
      <c r="K199" s="1" t="s">
        <v>242</v>
      </c>
      <c r="L199" s="5" t="s">
        <v>246</v>
      </c>
    </row>
    <row r="200" spans="1:12" x14ac:dyDescent="0.25">
      <c r="A200" s="4" t="s">
        <v>208</v>
      </c>
      <c r="B200" s="12">
        <v>45552</v>
      </c>
      <c r="C200" s="1">
        <f>MONTH(Table1[[#This Row],[Date]])</f>
        <v>9</v>
      </c>
      <c r="D200" s="1" t="s">
        <v>212</v>
      </c>
      <c r="E200" s="1" t="s">
        <v>217</v>
      </c>
      <c r="F200" s="1" t="s">
        <v>235</v>
      </c>
      <c r="G200" s="1">
        <v>1</v>
      </c>
      <c r="H200" s="1">
        <v>76129</v>
      </c>
      <c r="I200" s="1">
        <v>76129</v>
      </c>
      <c r="J200" s="1">
        <f>AVERAGE(Table1[[#This Row],[Revenue]],Table1[[#This Row],[Quantity Sold]])</f>
        <v>38065</v>
      </c>
      <c r="K200" s="1" t="s">
        <v>244</v>
      </c>
      <c r="L200" s="5" t="s">
        <v>246</v>
      </c>
    </row>
    <row r="201" spans="1:12" x14ac:dyDescent="0.25">
      <c r="A201" s="9" t="s">
        <v>209</v>
      </c>
      <c r="B201" s="12">
        <v>45553</v>
      </c>
      <c r="C201" s="10">
        <f>MONTH(Table1[[#This Row],[Date]])</f>
        <v>9</v>
      </c>
      <c r="D201" s="10" t="s">
        <v>212</v>
      </c>
      <c r="E201" s="10" t="s">
        <v>220</v>
      </c>
      <c r="F201" s="10" t="s">
        <v>232</v>
      </c>
      <c r="G201" s="10">
        <v>1</v>
      </c>
      <c r="H201" s="10">
        <v>78331</v>
      </c>
      <c r="I201" s="10">
        <v>78331</v>
      </c>
      <c r="J201" s="10">
        <f>AVERAGE(Table1[[#This Row],[Revenue]],Table1[[#This Row],[Quantity Sold]])</f>
        <v>39166</v>
      </c>
      <c r="K201" s="10" t="s">
        <v>243</v>
      </c>
      <c r="L201" s="11" t="s">
        <v>245</v>
      </c>
    </row>
  </sheetData>
  <phoneticPr fontId="2"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final-dash</vt:lpstr>
      <vt:lpstr>kpi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91913</cp:lastModifiedBy>
  <dcterms:created xsi:type="dcterms:W3CDTF">2025-07-25T16:06:50Z</dcterms:created>
  <dcterms:modified xsi:type="dcterms:W3CDTF">2025-08-24T17:32:19Z</dcterms:modified>
</cp:coreProperties>
</file>